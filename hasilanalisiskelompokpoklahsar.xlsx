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EMESTER 6\"/>
    </mc:Choice>
  </mc:AlternateContent>
  <xr:revisionPtr revIDLastSave="0" documentId="8_{FC2E5FD7-690F-49C7-B4E6-2E61EDF988AA}" xr6:coauthVersionLast="47" xr6:coauthVersionMax="47" xr10:uidLastSave="{00000000-0000-0000-0000-000000000000}"/>
  <bookViews>
    <workbookView xWindow="-120" yWindow="-120" windowWidth="20730" windowHeight="11040" xr2:uid="{47CECC9A-4634-4926-80BB-5CF4D153D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2" i="1" l="1"/>
  <c r="S42" i="1"/>
  <c r="T34" i="1"/>
  <c r="S34" i="1"/>
  <c r="S25" i="1"/>
  <c r="S18" i="1"/>
  <c r="T10" i="1"/>
  <c r="S10" i="1"/>
  <c r="T3" i="1"/>
  <c r="S3" i="1"/>
  <c r="O44" i="1"/>
  <c r="N44" i="1"/>
  <c r="M44" i="1"/>
  <c r="O43" i="1"/>
  <c r="N43" i="1"/>
  <c r="M43" i="1"/>
  <c r="K44" i="1"/>
  <c r="L44" i="1"/>
  <c r="L43" i="1"/>
  <c r="K43" i="1"/>
  <c r="P43" i="1" s="1"/>
  <c r="O36" i="1"/>
  <c r="N36" i="1"/>
  <c r="M36" i="1"/>
  <c r="L36" i="1"/>
  <c r="K36" i="1"/>
  <c r="P36" i="1" s="1"/>
  <c r="O35" i="1"/>
  <c r="N35" i="1"/>
  <c r="M35" i="1"/>
  <c r="L35" i="1"/>
  <c r="K35" i="1"/>
  <c r="P35" i="1" s="1"/>
  <c r="P37" i="1" s="1"/>
  <c r="O27" i="1"/>
  <c r="N27" i="1"/>
  <c r="M27" i="1"/>
  <c r="L27" i="1"/>
  <c r="K27" i="1"/>
  <c r="P27" i="1" s="1"/>
  <c r="O26" i="1"/>
  <c r="N26" i="1"/>
  <c r="M26" i="1"/>
  <c r="L26" i="1"/>
  <c r="K26" i="1"/>
  <c r="P26" i="1" s="1"/>
  <c r="P28" i="1" s="1"/>
  <c r="O20" i="1"/>
  <c r="N20" i="1"/>
  <c r="M20" i="1"/>
  <c r="L20" i="1"/>
  <c r="K20" i="1"/>
  <c r="P20" i="1" s="1"/>
  <c r="O19" i="1"/>
  <c r="N19" i="1"/>
  <c r="M19" i="1"/>
  <c r="L19" i="1"/>
  <c r="K19" i="1"/>
  <c r="P19" i="1" s="1"/>
  <c r="P21" i="1" s="1"/>
  <c r="O12" i="1"/>
  <c r="N12" i="1"/>
  <c r="M12" i="1"/>
  <c r="L12" i="1"/>
  <c r="K12" i="1"/>
  <c r="P12" i="1" s="1"/>
  <c r="O11" i="1"/>
  <c r="N11" i="1"/>
  <c r="M11" i="1"/>
  <c r="L11" i="1"/>
  <c r="K11" i="1"/>
  <c r="P11" i="1" s="1"/>
  <c r="P13" i="1" s="1"/>
  <c r="O4" i="1"/>
  <c r="N4" i="1"/>
  <c r="M4" i="1"/>
  <c r="L4" i="1"/>
  <c r="K4" i="1"/>
  <c r="P4" i="1" s="1"/>
  <c r="O3" i="1"/>
  <c r="N3" i="1"/>
  <c r="M3" i="1"/>
  <c r="L3" i="1"/>
  <c r="K3" i="1"/>
  <c r="P3" i="1" s="1"/>
  <c r="P5" i="1" s="1"/>
  <c r="P6" i="1" s="1"/>
  <c r="H43" i="1"/>
  <c r="H42" i="1"/>
  <c r="H44" i="1" s="1"/>
  <c r="H35" i="1"/>
  <c r="H34" i="1"/>
  <c r="H36" i="1" s="1"/>
  <c r="H27" i="1"/>
  <c r="H26" i="1"/>
  <c r="H28" i="1" s="1"/>
  <c r="H19" i="1"/>
  <c r="H18" i="1"/>
  <c r="H12" i="1"/>
  <c r="H11" i="1"/>
  <c r="H13" i="1" s="1"/>
  <c r="H4" i="1"/>
  <c r="H3" i="1"/>
  <c r="H5" i="1" s="1"/>
  <c r="F5" i="1"/>
  <c r="F6" i="1" s="1"/>
  <c r="E5" i="1"/>
  <c r="P29" i="1" l="1"/>
  <c r="P38" i="1"/>
  <c r="P44" i="1"/>
  <c r="P45" i="1" s="1"/>
  <c r="P46" i="1" s="1"/>
  <c r="H20" i="1"/>
  <c r="P14" i="1"/>
  <c r="P22" i="1"/>
  <c r="D44" i="1"/>
  <c r="D45" i="1" s="1"/>
  <c r="E44" i="1"/>
  <c r="E45" i="1" s="1"/>
  <c r="F44" i="1"/>
  <c r="F45" i="1" s="1"/>
  <c r="E36" i="1"/>
  <c r="E37" i="1" s="1"/>
  <c r="F36" i="1"/>
  <c r="F37" i="1" s="1"/>
  <c r="D36" i="1"/>
  <c r="D37" i="1" s="1"/>
  <c r="H37" i="1" s="1"/>
  <c r="AB8" i="1" s="1"/>
  <c r="E28" i="1"/>
  <c r="E29" i="1" s="1"/>
  <c r="F28" i="1"/>
  <c r="F29" i="1" s="1"/>
  <c r="D28" i="1"/>
  <c r="D29" i="1" s="1"/>
  <c r="H29" i="1" s="1"/>
  <c r="AB7" i="1" s="1"/>
  <c r="E20" i="1"/>
  <c r="E21" i="1" s="1"/>
  <c r="F20" i="1"/>
  <c r="F21" i="1" s="1"/>
  <c r="D20" i="1"/>
  <c r="D21" i="1" s="1"/>
  <c r="E13" i="1"/>
  <c r="E14" i="1" s="1"/>
  <c r="F13" i="1"/>
  <c r="F14" i="1" s="1"/>
  <c r="D13" i="1"/>
  <c r="D14" i="1" s="1"/>
  <c r="H14" i="1" s="1"/>
  <c r="AB5" i="1" s="1"/>
  <c r="E6" i="1"/>
  <c r="D5" i="1"/>
  <c r="D6" i="1" s="1"/>
  <c r="H6" i="1" s="1"/>
  <c r="AB4" i="1" s="1"/>
  <c r="H21" i="1"/>
  <c r="AB6" i="1" s="1"/>
  <c r="H45" i="1" l="1"/>
  <c r="AB9" i="1" s="1"/>
</calcChain>
</file>

<file path=xl/sharedStrings.xml><?xml version="1.0" encoding="utf-8"?>
<sst xmlns="http://schemas.openxmlformats.org/spreadsheetml/2006/main" count="120" uniqueCount="37">
  <si>
    <t>Performance</t>
  </si>
  <si>
    <t>Penilaian</t>
  </si>
  <si>
    <t>STP (1)</t>
  </si>
  <si>
    <t>TS (2)</t>
  </si>
  <si>
    <t>CP (3)</t>
  </si>
  <si>
    <t>P (4)</t>
  </si>
  <si>
    <t>SP (5)</t>
  </si>
  <si>
    <t>Pertanyaan 1</t>
  </si>
  <si>
    <t>Tidak Puas</t>
  </si>
  <si>
    <t>Pertanyaan 2</t>
  </si>
  <si>
    <t>Cukup Puas</t>
  </si>
  <si>
    <t>Sangat Puas</t>
  </si>
  <si>
    <t>Information</t>
  </si>
  <si>
    <t>Economy</t>
  </si>
  <si>
    <t>Control</t>
  </si>
  <si>
    <t>Efficiency</t>
  </si>
  <si>
    <t>Service</t>
  </si>
  <si>
    <t>42 responden</t>
  </si>
  <si>
    <t>INTERVAL</t>
  </si>
  <si>
    <t>5-1/5=4/5=0,8</t>
  </si>
  <si>
    <t>1,00-1,80</t>
  </si>
  <si>
    <t>Kriteria</t>
  </si>
  <si>
    <t>Sangat Tidak Puas</t>
  </si>
  <si>
    <t>1,81-2,60</t>
  </si>
  <si>
    <t>2,61-3,40</t>
  </si>
  <si>
    <t>3,41-4,20</t>
  </si>
  <si>
    <t>4,21-5,00</t>
  </si>
  <si>
    <t>Total skor</t>
  </si>
  <si>
    <t>TS</t>
  </si>
  <si>
    <t>CP</t>
  </si>
  <si>
    <t>P</t>
  </si>
  <si>
    <t>SP</t>
  </si>
  <si>
    <t>PUAS</t>
  </si>
  <si>
    <t>STP</t>
  </si>
  <si>
    <t>puas</t>
  </si>
  <si>
    <t>NILAI</t>
  </si>
  <si>
    <t>KESIMPULAN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</si>
</sst>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1F1F1F"/>
      <name val="Times New Roman"/>
      <family val="1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3" fillId="4" borderId="0" xfId="0" applyFont="1" applyFill="1"/>
    <xf numFmtId="0" fontId="3" fillId="3" borderId="2" xfId="0" applyFont="1" applyFill="1" applyBorder="1"/>
    <xf numFmtId="0" fontId="3" fillId="4" borderId="1" xfId="0" applyFont="1" applyFill="1" applyBorder="1"/>
    <xf numFmtId="0" fontId="2" fillId="0" borderId="0" xfId="0" applyFont="1" applyBorder="1"/>
    <xf numFmtId="0" fontId="2" fillId="0" borderId="2" xfId="0" applyFont="1" applyBorder="1"/>
    <xf numFmtId="0" fontId="3" fillId="3" borderId="0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0" xfId="0" applyFont="1" applyFill="1"/>
    <xf numFmtId="0" fontId="3" fillId="0" borderId="0" xfId="0" applyFont="1" applyAlignment="1">
      <alignment horizontal="center"/>
    </xf>
    <xf numFmtId="0" fontId="0" fillId="0" borderId="0" xfId="0" applyBorder="1"/>
    <xf numFmtId="0" fontId="0" fillId="8" borderId="1" xfId="0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/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Sheet1!$AB$4:$AB$9</c:f>
            </c:numRef>
          </c:val>
          <c:extLst>
            <c:ext xmlns:c16="http://schemas.microsoft.com/office/drawing/2014/chart" uri="{C3380CC4-5D6E-409C-BE32-E72D297353CC}">
              <c16:uniqueId val="{00000000-1F29-425C-834C-C74414135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023519"/>
        <c:axId val="981023039"/>
      </c:radarChart>
      <c:catAx>
        <c:axId val="981023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23039"/>
        <c:crosses val="autoZero"/>
        <c:auto val="1"/>
        <c:lblAlgn val="ctr"/>
        <c:lblOffset val="100"/>
        <c:noMultiLvlLbl val="0"/>
      </c:catAx>
      <c:valAx>
        <c:axId val="98102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2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357281</xdr:colOff>
      <xdr:row>4</xdr:row>
      <xdr:rowOff>1494</xdr:rowOff>
    </xdr:from>
    <xdr:to>
      <xdr:col>42</xdr:col>
      <xdr:colOff>58831</xdr:colOff>
      <xdr:row>17</xdr:row>
      <xdr:rowOff>190501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3B745-3CBE-086A-8081-05E5C139F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2A23-01A2-41C9-8CAC-700E41CD3E8B}">
  <dimension ref="A1:AF46"/>
  <sheetViews>
    <sheetView tabSelected="1" zoomScale="85" zoomScaleNormal="85" workbookViewId="0">
      <selection activeCell="AB1" sqref="AB1:AB1048576"/>
    </sheetView>
  </sheetViews>
  <sheetFormatPr defaultColWidth="8.7109375" defaultRowHeight="15" x14ac:dyDescent="0.25"/>
  <cols>
    <col min="1" max="1" width="15.5703125" style="3" customWidth="1"/>
    <col min="2" max="10" width="8.7109375" style="3"/>
    <col min="11" max="11" width="13.85546875" style="3" customWidth="1"/>
    <col min="12" max="19" width="8.7109375" style="3"/>
    <col min="20" max="20" width="14.7109375" style="3" customWidth="1"/>
    <col min="21" max="23" width="8.7109375" style="3"/>
    <col min="24" max="24" width="23" style="3" customWidth="1"/>
    <col min="25" max="27" width="8.7109375" style="3"/>
    <col min="28" max="28" width="8.7109375" style="3" hidden="1" customWidth="1"/>
    <col min="29" max="29" width="8.7109375" style="3"/>
    <col min="30" max="30" width="17.42578125" style="3" customWidth="1"/>
    <col min="31" max="31" width="13.85546875" style="3" customWidth="1"/>
    <col min="32" max="32" width="22.28515625" style="3" customWidth="1"/>
    <col min="33" max="16384" width="8.7109375" style="3"/>
  </cols>
  <sheetData>
    <row r="1" spans="1:32" ht="15.75" x14ac:dyDescent="0.25">
      <c r="A1" s="1" t="s">
        <v>0</v>
      </c>
      <c r="B1" s="2"/>
      <c r="C1" s="2"/>
      <c r="D1" s="2"/>
      <c r="E1" s="2"/>
      <c r="F1" s="2"/>
      <c r="G1" s="2"/>
      <c r="K1" s="3" t="s">
        <v>27</v>
      </c>
    </row>
    <row r="2" spans="1:32" ht="15.7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4"/>
      <c r="K2" s="13" t="s">
        <v>2</v>
      </c>
      <c r="L2" s="13" t="s">
        <v>28</v>
      </c>
      <c r="M2" s="13" t="s">
        <v>29</v>
      </c>
      <c r="N2" s="13" t="s">
        <v>30</v>
      </c>
      <c r="O2" s="13" t="s">
        <v>31</v>
      </c>
      <c r="P2" s="13"/>
      <c r="S2" s="13" t="s">
        <v>35</v>
      </c>
      <c r="T2" s="13" t="s">
        <v>36</v>
      </c>
      <c r="W2" s="6" t="s">
        <v>21</v>
      </c>
      <c r="X2" s="7"/>
      <c r="Y2" s="23"/>
      <c r="Z2" s="23"/>
      <c r="AA2" s="23"/>
      <c r="AD2" s="5"/>
      <c r="AE2" s="6" t="s">
        <v>21</v>
      </c>
      <c r="AF2" s="7"/>
    </row>
    <row r="3" spans="1:32" ht="15.75" x14ac:dyDescent="0.25">
      <c r="A3" s="4" t="s">
        <v>7</v>
      </c>
      <c r="B3" s="4">
        <v>0</v>
      </c>
      <c r="C3" s="4">
        <v>0</v>
      </c>
      <c r="D3" s="4">
        <v>3</v>
      </c>
      <c r="E3" s="4">
        <v>19</v>
      </c>
      <c r="F3" s="4">
        <v>20</v>
      </c>
      <c r="G3" s="15"/>
      <c r="H3" s="12">
        <f>SUM(B3:F3)</f>
        <v>42</v>
      </c>
      <c r="I3" s="12"/>
      <c r="J3" s="12"/>
      <c r="K3" s="13">
        <f>B3*1</f>
        <v>0</v>
      </c>
      <c r="L3" s="13">
        <f>C3*2</f>
        <v>0</v>
      </c>
      <c r="M3" s="13">
        <f>D3*3</f>
        <v>9</v>
      </c>
      <c r="N3" s="13">
        <f>E3*4</f>
        <v>76</v>
      </c>
      <c r="O3" s="13">
        <f>F3*5</f>
        <v>100</v>
      </c>
      <c r="P3" s="13">
        <f>SUM(K3:O3)</f>
        <v>185</v>
      </c>
      <c r="S3" s="24">
        <f>P6</f>
        <v>4.0952380952380949</v>
      </c>
      <c r="T3" s="25" t="str">
        <f>Q6</f>
        <v>PUAS</v>
      </c>
      <c r="W3" s="8" t="s">
        <v>20</v>
      </c>
      <c r="X3" s="9" t="s">
        <v>22</v>
      </c>
      <c r="Y3" s="22"/>
      <c r="Z3" s="22"/>
      <c r="AA3" s="22"/>
      <c r="AD3" s="5"/>
      <c r="AE3" s="8" t="s">
        <v>20</v>
      </c>
      <c r="AF3" s="9" t="s">
        <v>22</v>
      </c>
    </row>
    <row r="4" spans="1:32" ht="15.75" x14ac:dyDescent="0.25">
      <c r="A4" s="4" t="s">
        <v>9</v>
      </c>
      <c r="B4" s="4">
        <v>0</v>
      </c>
      <c r="C4" s="4">
        <v>0</v>
      </c>
      <c r="D4" s="4">
        <v>15</v>
      </c>
      <c r="E4" s="4">
        <v>21</v>
      </c>
      <c r="F4" s="4">
        <v>6</v>
      </c>
      <c r="G4" s="15"/>
      <c r="H4" s="12">
        <f>SUM(B4:F4)</f>
        <v>42</v>
      </c>
      <c r="I4" s="12"/>
      <c r="J4" s="12"/>
      <c r="K4" s="13">
        <f>B4*1</f>
        <v>0</v>
      </c>
      <c r="L4" s="13">
        <f>C4*2</f>
        <v>0</v>
      </c>
      <c r="M4" s="13">
        <f>D4*3</f>
        <v>45</v>
      </c>
      <c r="N4" s="13">
        <f>E4*4</f>
        <v>84</v>
      </c>
      <c r="O4" s="13">
        <f>F4*5</f>
        <v>30</v>
      </c>
      <c r="P4" s="13">
        <f>SUM(K4:O4)</f>
        <v>159</v>
      </c>
      <c r="S4" s="24"/>
      <c r="T4" s="24"/>
      <c r="W4" s="8" t="s">
        <v>23</v>
      </c>
      <c r="X4" s="9" t="s">
        <v>8</v>
      </c>
      <c r="Y4" s="22"/>
      <c r="Z4" s="22"/>
      <c r="AA4" s="22"/>
      <c r="AB4" s="3">
        <f>H6/42</f>
        <v>6</v>
      </c>
      <c r="AD4" s="5"/>
      <c r="AE4" s="8" t="s">
        <v>23</v>
      </c>
      <c r="AF4" s="9" t="s">
        <v>8</v>
      </c>
    </row>
    <row r="5" spans="1:32" ht="15.75" x14ac:dyDescent="0.25">
      <c r="A5" s="4"/>
      <c r="B5" s="4">
        <v>0</v>
      </c>
      <c r="C5" s="4">
        <v>0</v>
      </c>
      <c r="D5" s="4">
        <f>SUM(D3:D4)</f>
        <v>18</v>
      </c>
      <c r="E5" s="4">
        <f>SUM(E3:E4)</f>
        <v>40</v>
      </c>
      <c r="F5" s="4">
        <f>SUM(F3:F4)</f>
        <v>26</v>
      </c>
      <c r="G5" s="14"/>
      <c r="H5" s="11">
        <f>SUM(H3:H4)</f>
        <v>84</v>
      </c>
      <c r="P5" s="3">
        <f>SUM(P3:P4)</f>
        <v>344</v>
      </c>
      <c r="S5" s="24"/>
      <c r="T5" s="24"/>
      <c r="W5" s="8" t="s">
        <v>24</v>
      </c>
      <c r="X5" s="9" t="s">
        <v>10</v>
      </c>
      <c r="Y5" s="22"/>
      <c r="Z5" s="22"/>
      <c r="AA5" s="22"/>
      <c r="AB5" s="3">
        <f>H14/42</f>
        <v>6</v>
      </c>
      <c r="AD5" s="5"/>
      <c r="AE5" s="8" t="s">
        <v>24</v>
      </c>
      <c r="AF5" s="9" t="s">
        <v>10</v>
      </c>
    </row>
    <row r="6" spans="1:32" ht="15.75" x14ac:dyDescent="0.25">
      <c r="A6" s="4"/>
      <c r="B6" s="4">
        <v>0</v>
      </c>
      <c r="C6" s="4">
        <v>0</v>
      </c>
      <c r="D6" s="4">
        <f>D5*3</f>
        <v>54</v>
      </c>
      <c r="E6" s="4">
        <f t="shared" ref="E6" si="0">E5*3</f>
        <v>120</v>
      </c>
      <c r="F6" s="4">
        <f>F5*3</f>
        <v>78</v>
      </c>
      <c r="G6" s="14"/>
      <c r="H6" s="3">
        <f>SUM(B6:F6)</f>
        <v>252</v>
      </c>
      <c r="P6" s="18">
        <f>P5/84</f>
        <v>4.0952380952380949</v>
      </c>
      <c r="Q6" s="21" t="s">
        <v>32</v>
      </c>
      <c r="S6" s="24"/>
      <c r="T6" s="24"/>
      <c r="W6" s="8" t="s">
        <v>25</v>
      </c>
      <c r="X6" s="9" t="s">
        <v>34</v>
      </c>
      <c r="Y6" s="22"/>
      <c r="Z6" s="22"/>
      <c r="AA6" s="22"/>
      <c r="AB6" s="3">
        <f>H21/42</f>
        <v>5.8571428571428568</v>
      </c>
      <c r="AD6" s="5"/>
      <c r="AE6" s="8" t="s">
        <v>25</v>
      </c>
      <c r="AF6" s="9" t="s">
        <v>34</v>
      </c>
    </row>
    <row r="7" spans="1:32" ht="15.75" x14ac:dyDescent="0.25">
      <c r="A7" s="2"/>
      <c r="B7" s="2"/>
      <c r="C7" s="2"/>
      <c r="D7" s="2"/>
      <c r="E7" s="2"/>
      <c r="F7" s="2"/>
      <c r="G7" s="2"/>
      <c r="Q7" s="21"/>
      <c r="S7" s="24"/>
      <c r="T7" s="24"/>
      <c r="W7" s="8" t="s">
        <v>26</v>
      </c>
      <c r="X7" s="9" t="s">
        <v>11</v>
      </c>
      <c r="Y7" s="22"/>
      <c r="Z7" s="22"/>
      <c r="AA7" s="22"/>
      <c r="AB7" s="3">
        <f>H29/42</f>
        <v>6</v>
      </c>
      <c r="AE7" s="8" t="s">
        <v>26</v>
      </c>
      <c r="AF7" s="9" t="s">
        <v>11</v>
      </c>
    </row>
    <row r="8" spans="1:32" ht="15.75" x14ac:dyDescent="0.25">
      <c r="A8" s="2"/>
      <c r="B8" s="2"/>
      <c r="C8" s="2"/>
      <c r="D8" s="2"/>
      <c r="E8" s="2"/>
      <c r="F8" s="2"/>
      <c r="G8" s="2"/>
      <c r="Q8" s="21"/>
      <c r="S8" s="24"/>
      <c r="T8" s="24"/>
      <c r="AB8" s="3">
        <f>H37/42</f>
        <v>6</v>
      </c>
    </row>
    <row r="9" spans="1:32" ht="15.75" x14ac:dyDescent="0.25">
      <c r="A9" s="1" t="s">
        <v>12</v>
      </c>
      <c r="B9" s="2"/>
      <c r="C9" s="2"/>
      <c r="D9" s="2"/>
      <c r="E9" s="2"/>
      <c r="F9" s="2"/>
      <c r="G9" s="2"/>
      <c r="Q9" s="21"/>
      <c r="S9" s="24"/>
      <c r="T9" s="24"/>
      <c r="AB9" s="3">
        <f>H45/42</f>
        <v>8.0714285714285712</v>
      </c>
    </row>
    <row r="10" spans="1:32" ht="15.75" x14ac:dyDescent="0.25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14"/>
      <c r="K10" s="13" t="s">
        <v>33</v>
      </c>
      <c r="L10" s="13" t="s">
        <v>28</v>
      </c>
      <c r="M10" s="13" t="s">
        <v>29</v>
      </c>
      <c r="N10" s="13" t="s">
        <v>30</v>
      </c>
      <c r="O10" s="13" t="s">
        <v>31</v>
      </c>
      <c r="P10" s="13"/>
      <c r="Q10" s="21"/>
      <c r="S10" s="26">
        <f>P14</f>
        <v>3.7976190476190474</v>
      </c>
      <c r="T10" s="27" t="str">
        <f>Q14</f>
        <v>PUAS</v>
      </c>
    </row>
    <row r="11" spans="1:32" ht="15.75" x14ac:dyDescent="0.25">
      <c r="A11" s="4" t="s">
        <v>7</v>
      </c>
      <c r="B11" s="4">
        <v>0</v>
      </c>
      <c r="C11" s="4">
        <v>0</v>
      </c>
      <c r="D11" s="4">
        <v>19</v>
      </c>
      <c r="E11" s="4">
        <v>12</v>
      </c>
      <c r="F11" s="4">
        <v>11</v>
      </c>
      <c r="G11" s="4"/>
      <c r="H11" s="10">
        <f>SUM(B11:F11)</f>
        <v>42</v>
      </c>
      <c r="I11" s="16"/>
      <c r="J11" s="16"/>
      <c r="K11" s="13">
        <f>B11*1</f>
        <v>0</v>
      </c>
      <c r="L11" s="13">
        <f>C11*2</f>
        <v>0</v>
      </c>
      <c r="M11" s="13">
        <f>D11*3</f>
        <v>57</v>
      </c>
      <c r="N11" s="13">
        <f>E11*4</f>
        <v>48</v>
      </c>
      <c r="O11" s="13">
        <f>F11*5</f>
        <v>55</v>
      </c>
      <c r="P11" s="13">
        <f>SUM(K11:O11)</f>
        <v>160</v>
      </c>
      <c r="Q11" s="21"/>
      <c r="S11" s="26"/>
      <c r="T11" s="26"/>
    </row>
    <row r="12" spans="1:32" ht="15.75" x14ac:dyDescent="0.25">
      <c r="A12" s="4" t="s">
        <v>9</v>
      </c>
      <c r="B12" s="4">
        <v>0</v>
      </c>
      <c r="C12" s="4">
        <v>0</v>
      </c>
      <c r="D12" s="4">
        <v>20</v>
      </c>
      <c r="E12" s="4">
        <v>11</v>
      </c>
      <c r="F12" s="4">
        <v>11</v>
      </c>
      <c r="G12" s="4"/>
      <c r="H12" s="10">
        <f>SUM(B12:F12)</f>
        <v>42</v>
      </c>
      <c r="I12" s="16"/>
      <c r="J12" s="16"/>
      <c r="K12" s="13">
        <f>B12*1</f>
        <v>0</v>
      </c>
      <c r="L12" s="13">
        <f>C12*2</f>
        <v>0</v>
      </c>
      <c r="M12" s="13">
        <f>D12*3</f>
        <v>60</v>
      </c>
      <c r="N12" s="13">
        <f>E12*4</f>
        <v>44</v>
      </c>
      <c r="O12" s="13">
        <f>F12*5</f>
        <v>55</v>
      </c>
      <c r="P12" s="13">
        <f>SUM(K12:O12)</f>
        <v>159</v>
      </c>
      <c r="Q12" s="21"/>
      <c r="S12" s="26"/>
      <c r="T12" s="26"/>
      <c r="AB12" s="3" t="s">
        <v>17</v>
      </c>
      <c r="AD12" s="3" t="s">
        <v>18</v>
      </c>
    </row>
    <row r="13" spans="1:32" ht="15.75" x14ac:dyDescent="0.25">
      <c r="A13" s="4"/>
      <c r="B13" s="4">
        <v>0</v>
      </c>
      <c r="C13" s="4">
        <v>0</v>
      </c>
      <c r="D13" s="4">
        <f>SUM(D11:D12)</f>
        <v>39</v>
      </c>
      <c r="E13" s="4">
        <f t="shared" ref="E13:F13" si="1">SUM(E11:E12)</f>
        <v>23</v>
      </c>
      <c r="F13" s="4">
        <f t="shared" si="1"/>
        <v>22</v>
      </c>
      <c r="G13" s="14"/>
      <c r="H13" s="3">
        <f>SUM(H11:H12)</f>
        <v>84</v>
      </c>
      <c r="P13" s="3">
        <f>SUM(P11:P12)</f>
        <v>319</v>
      </c>
      <c r="Q13" s="21"/>
      <c r="S13" s="26"/>
      <c r="T13" s="26"/>
      <c r="AD13" s="3" t="s">
        <v>19</v>
      </c>
    </row>
    <row r="14" spans="1:32" ht="15.75" x14ac:dyDescent="0.25">
      <c r="A14" s="4"/>
      <c r="B14" s="4">
        <v>0</v>
      </c>
      <c r="C14" s="4">
        <v>0</v>
      </c>
      <c r="D14" s="4">
        <f>D13*3</f>
        <v>117</v>
      </c>
      <c r="E14" s="4">
        <f t="shared" ref="E14:F14" si="2">E13*3</f>
        <v>69</v>
      </c>
      <c r="F14" s="4">
        <f t="shared" si="2"/>
        <v>66</v>
      </c>
      <c r="G14" s="14"/>
      <c r="H14" s="3">
        <f>SUM(B14:F14)</f>
        <v>252</v>
      </c>
      <c r="P14" s="18">
        <f>P13/H13</f>
        <v>3.7976190476190474</v>
      </c>
      <c r="Q14" s="21" t="s">
        <v>32</v>
      </c>
      <c r="S14" s="26"/>
      <c r="T14" s="26"/>
    </row>
    <row r="15" spans="1:32" ht="15.75" x14ac:dyDescent="0.25">
      <c r="A15" s="2"/>
      <c r="B15" s="2"/>
      <c r="C15" s="2"/>
      <c r="D15" s="2"/>
      <c r="E15" s="2"/>
      <c r="F15" s="2"/>
      <c r="G15" s="2"/>
      <c r="Q15" s="21"/>
      <c r="S15" s="26"/>
      <c r="T15" s="26"/>
    </row>
    <row r="16" spans="1:32" ht="15.75" x14ac:dyDescent="0.25">
      <c r="A16" s="1" t="s">
        <v>13</v>
      </c>
      <c r="B16" s="2"/>
      <c r="C16" s="2"/>
      <c r="D16" s="2"/>
      <c r="E16" s="2"/>
      <c r="F16" s="2"/>
      <c r="G16" s="2"/>
      <c r="Q16" s="21"/>
      <c r="S16" s="26"/>
      <c r="T16" s="26"/>
    </row>
    <row r="17" spans="1:20" ht="15.75" x14ac:dyDescent="0.25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14"/>
      <c r="Q17" s="21"/>
      <c r="S17" s="26"/>
      <c r="T17" s="26"/>
    </row>
    <row r="18" spans="1:20" ht="15.75" x14ac:dyDescent="0.25">
      <c r="A18" s="4" t="s">
        <v>7</v>
      </c>
      <c r="B18" s="4">
        <v>0</v>
      </c>
      <c r="C18" s="4">
        <v>0</v>
      </c>
      <c r="D18" s="4">
        <v>16</v>
      </c>
      <c r="E18" s="4">
        <v>12</v>
      </c>
      <c r="F18" s="4">
        <v>14</v>
      </c>
      <c r="G18" s="4"/>
      <c r="H18" s="10">
        <f>SUM(B18:F18)</f>
        <v>42</v>
      </c>
      <c r="I18" s="16"/>
      <c r="J18" s="16"/>
      <c r="K18" s="13" t="s">
        <v>33</v>
      </c>
      <c r="L18" s="13" t="s">
        <v>28</v>
      </c>
      <c r="M18" s="13" t="s">
        <v>29</v>
      </c>
      <c r="N18" s="13" t="s">
        <v>30</v>
      </c>
      <c r="O18" s="13" t="s">
        <v>31</v>
      </c>
      <c r="P18" s="13"/>
      <c r="Q18" s="21"/>
      <c r="S18" s="28">
        <f>P22</f>
        <v>4.0121951219512191</v>
      </c>
      <c r="T18" s="29" t="s">
        <v>32</v>
      </c>
    </row>
    <row r="19" spans="1:20" ht="15.75" x14ac:dyDescent="0.25">
      <c r="A19" s="4" t="s">
        <v>9</v>
      </c>
      <c r="B19" s="4">
        <v>0</v>
      </c>
      <c r="C19" s="4">
        <v>0</v>
      </c>
      <c r="D19" s="4">
        <v>7</v>
      </c>
      <c r="E19" s="4">
        <v>23</v>
      </c>
      <c r="F19" s="4">
        <v>10</v>
      </c>
      <c r="G19" s="4"/>
      <c r="H19" s="10">
        <f>SUM(B19:F19)</f>
        <v>40</v>
      </c>
      <c r="I19" s="16"/>
      <c r="J19" s="16"/>
      <c r="K19" s="13">
        <f>B18*1</f>
        <v>0</v>
      </c>
      <c r="L19" s="13">
        <f>C18*2</f>
        <v>0</v>
      </c>
      <c r="M19" s="13">
        <f>D18*3</f>
        <v>48</v>
      </c>
      <c r="N19" s="13">
        <f>E18*4</f>
        <v>48</v>
      </c>
      <c r="O19" s="13">
        <f>F18*5</f>
        <v>70</v>
      </c>
      <c r="P19" s="13">
        <f>SUM(K19:O19)</f>
        <v>166</v>
      </c>
      <c r="Q19" s="21"/>
      <c r="S19" s="28"/>
      <c r="T19" s="28"/>
    </row>
    <row r="20" spans="1:20" ht="15.75" x14ac:dyDescent="0.25">
      <c r="A20" s="4"/>
      <c r="B20" s="4">
        <v>0</v>
      </c>
      <c r="C20" s="4">
        <v>0</v>
      </c>
      <c r="D20" s="4">
        <f>SUM(D18:D19)</f>
        <v>23</v>
      </c>
      <c r="E20" s="4">
        <f t="shared" ref="E20:F20" si="3">SUM(E18:E19)</f>
        <v>35</v>
      </c>
      <c r="F20" s="4">
        <f t="shared" si="3"/>
        <v>24</v>
      </c>
      <c r="G20" s="14"/>
      <c r="H20" s="3">
        <f>SUM(H18:H19)</f>
        <v>82</v>
      </c>
      <c r="K20" s="13">
        <f>B19*1</f>
        <v>0</v>
      </c>
      <c r="L20" s="13">
        <f>C19*2</f>
        <v>0</v>
      </c>
      <c r="M20" s="13">
        <f>D19*3</f>
        <v>21</v>
      </c>
      <c r="N20" s="13">
        <f>E19*4</f>
        <v>92</v>
      </c>
      <c r="O20" s="13">
        <f>F19*5</f>
        <v>50</v>
      </c>
      <c r="P20" s="13">
        <f>SUM(K20:O20)</f>
        <v>163</v>
      </c>
      <c r="Q20" s="21"/>
      <c r="S20" s="28"/>
      <c r="T20" s="28"/>
    </row>
    <row r="21" spans="1:20" ht="15.75" x14ac:dyDescent="0.25">
      <c r="A21" s="4"/>
      <c r="B21" s="4">
        <v>0</v>
      </c>
      <c r="C21" s="4">
        <v>0</v>
      </c>
      <c r="D21" s="4">
        <f>D20*3</f>
        <v>69</v>
      </c>
      <c r="E21" s="4">
        <f t="shared" ref="E21:F21" si="4">E20*3</f>
        <v>105</v>
      </c>
      <c r="F21" s="4">
        <f t="shared" si="4"/>
        <v>72</v>
      </c>
      <c r="G21" s="14"/>
      <c r="H21" s="3">
        <f>SUM(B21:F21)</f>
        <v>246</v>
      </c>
      <c r="P21" s="3">
        <f>SUM(P19:P20)</f>
        <v>329</v>
      </c>
      <c r="Q21" s="21"/>
      <c r="S21" s="28"/>
      <c r="T21" s="28"/>
    </row>
    <row r="22" spans="1:20" ht="15.75" x14ac:dyDescent="0.25">
      <c r="A22" s="2"/>
      <c r="B22" s="2"/>
      <c r="C22" s="2"/>
      <c r="D22" s="2"/>
      <c r="E22" s="2"/>
      <c r="F22" s="2"/>
      <c r="G22" s="2"/>
      <c r="P22" s="18">
        <f>P21/H20</f>
        <v>4.0121951219512191</v>
      </c>
      <c r="Q22" s="21" t="s">
        <v>32</v>
      </c>
      <c r="S22" s="28"/>
      <c r="T22" s="28"/>
    </row>
    <row r="23" spans="1:20" ht="15.75" x14ac:dyDescent="0.25">
      <c r="A23" s="2"/>
      <c r="B23" s="2"/>
      <c r="C23" s="2"/>
      <c r="D23" s="2"/>
      <c r="E23" s="2"/>
      <c r="F23" s="2"/>
      <c r="G23" s="2"/>
      <c r="Q23" s="21"/>
      <c r="S23" s="28"/>
      <c r="T23" s="28"/>
    </row>
    <row r="24" spans="1:20" ht="15.75" x14ac:dyDescent="0.25">
      <c r="A24" s="1" t="s">
        <v>14</v>
      </c>
      <c r="B24" s="2"/>
      <c r="C24" s="2"/>
      <c r="D24" s="2"/>
      <c r="E24" s="2"/>
      <c r="F24" s="2"/>
      <c r="G24" s="2"/>
      <c r="Q24" s="21"/>
      <c r="S24" s="28"/>
      <c r="T24" s="28"/>
    </row>
    <row r="25" spans="1:20" ht="15.75" x14ac:dyDescent="0.25">
      <c r="A25" s="4" t="s">
        <v>1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14"/>
      <c r="K25" s="13" t="s">
        <v>33</v>
      </c>
      <c r="L25" s="13" t="s">
        <v>28</v>
      </c>
      <c r="M25" s="13" t="s">
        <v>29</v>
      </c>
      <c r="N25" s="13" t="s">
        <v>30</v>
      </c>
      <c r="O25" s="13" t="s">
        <v>31</v>
      </c>
      <c r="P25" s="13"/>
      <c r="Q25" s="21"/>
      <c r="S25" s="30">
        <f>P29</f>
        <v>3.9404761904761907</v>
      </c>
      <c r="T25" s="31" t="s">
        <v>32</v>
      </c>
    </row>
    <row r="26" spans="1:20" ht="15.75" x14ac:dyDescent="0.25">
      <c r="A26" s="4" t="s">
        <v>7</v>
      </c>
      <c r="B26" s="4">
        <v>0</v>
      </c>
      <c r="C26" s="4">
        <v>0</v>
      </c>
      <c r="D26" s="4">
        <v>14</v>
      </c>
      <c r="E26" s="4">
        <v>19</v>
      </c>
      <c r="F26" s="4">
        <v>9</v>
      </c>
      <c r="G26" s="4"/>
      <c r="H26" s="10">
        <f>SUM(B26:F26)</f>
        <v>42</v>
      </c>
      <c r="I26" s="16"/>
      <c r="J26" s="16"/>
      <c r="K26" s="13">
        <f>B26*1</f>
        <v>0</v>
      </c>
      <c r="L26" s="13">
        <f>C26*2</f>
        <v>0</v>
      </c>
      <c r="M26" s="13">
        <f>D26*3</f>
        <v>42</v>
      </c>
      <c r="N26" s="13">
        <f>E26*4</f>
        <v>76</v>
      </c>
      <c r="O26" s="13">
        <f>F26*5</f>
        <v>45</v>
      </c>
      <c r="P26" s="13">
        <f>SUM(K26:O26)</f>
        <v>163</v>
      </c>
      <c r="Q26" s="21"/>
      <c r="S26" s="30"/>
      <c r="T26" s="30"/>
    </row>
    <row r="27" spans="1:20" ht="15.75" x14ac:dyDescent="0.25">
      <c r="A27" s="4" t="s">
        <v>9</v>
      </c>
      <c r="B27" s="4">
        <v>0</v>
      </c>
      <c r="C27" s="4">
        <v>0</v>
      </c>
      <c r="D27" s="4">
        <v>13</v>
      </c>
      <c r="E27" s="4">
        <v>16</v>
      </c>
      <c r="F27" s="4">
        <v>13</v>
      </c>
      <c r="G27" s="4"/>
      <c r="H27" s="10">
        <f>SUM(B27:F27)</f>
        <v>42</v>
      </c>
      <c r="I27" s="16"/>
      <c r="J27" s="16"/>
      <c r="K27" s="13">
        <f>B27</f>
        <v>0</v>
      </c>
      <c r="L27" s="13">
        <f>C27</f>
        <v>0</v>
      </c>
      <c r="M27" s="13">
        <f>D27*3</f>
        <v>39</v>
      </c>
      <c r="N27" s="13">
        <f>E27*4</f>
        <v>64</v>
      </c>
      <c r="O27" s="13">
        <f>F27*5</f>
        <v>65</v>
      </c>
      <c r="P27" s="13">
        <f>SUM(K27:O27)</f>
        <v>168</v>
      </c>
      <c r="Q27" s="21"/>
      <c r="S27" s="30"/>
      <c r="T27" s="30"/>
    </row>
    <row r="28" spans="1:20" ht="15.75" x14ac:dyDescent="0.25">
      <c r="A28" s="4"/>
      <c r="B28" s="4">
        <v>0</v>
      </c>
      <c r="C28" s="4">
        <v>0</v>
      </c>
      <c r="D28" s="4">
        <f>SUM(D26:D27)</f>
        <v>27</v>
      </c>
      <c r="E28" s="4">
        <f t="shared" ref="E28:F28" si="5">SUM(E26:E27)</f>
        <v>35</v>
      </c>
      <c r="F28" s="4">
        <f t="shared" si="5"/>
        <v>22</v>
      </c>
      <c r="G28" s="14"/>
      <c r="H28" s="3">
        <f>SUM(H26:H27)</f>
        <v>84</v>
      </c>
      <c r="P28" s="3">
        <f>SUM(P26:P27)</f>
        <v>331</v>
      </c>
      <c r="Q28" s="21"/>
      <c r="S28" s="30"/>
      <c r="T28" s="30"/>
    </row>
    <row r="29" spans="1:20" ht="15.75" x14ac:dyDescent="0.25">
      <c r="A29" s="4"/>
      <c r="B29" s="4">
        <v>0</v>
      </c>
      <c r="C29" s="4">
        <v>0</v>
      </c>
      <c r="D29" s="4">
        <f>D28*3</f>
        <v>81</v>
      </c>
      <c r="E29" s="4">
        <f t="shared" ref="E29:F29" si="6">E28*3</f>
        <v>105</v>
      </c>
      <c r="F29" s="4">
        <f t="shared" si="6"/>
        <v>66</v>
      </c>
      <c r="G29" s="14"/>
      <c r="H29" s="3">
        <f>SUM(B29:F29)</f>
        <v>252</v>
      </c>
      <c r="P29" s="18">
        <f>P28/H28</f>
        <v>3.9404761904761907</v>
      </c>
      <c r="Q29" s="21" t="s">
        <v>32</v>
      </c>
      <c r="S29" s="30"/>
      <c r="T29" s="30"/>
    </row>
    <row r="30" spans="1:20" ht="15.75" x14ac:dyDescent="0.25">
      <c r="A30" s="2"/>
      <c r="B30" s="2"/>
      <c r="C30" s="2"/>
      <c r="D30" s="2"/>
      <c r="E30" s="2"/>
      <c r="F30" s="2"/>
      <c r="G30" s="2"/>
      <c r="Q30" s="21"/>
      <c r="S30" s="30"/>
      <c r="T30" s="30"/>
    </row>
    <row r="31" spans="1:20" ht="15.75" x14ac:dyDescent="0.25">
      <c r="A31" s="2"/>
      <c r="B31" s="2"/>
      <c r="C31" s="2"/>
      <c r="D31" s="2"/>
      <c r="E31" s="2"/>
      <c r="F31" s="2"/>
      <c r="G31" s="2"/>
      <c r="Q31" s="21"/>
      <c r="S31" s="30"/>
      <c r="T31" s="30"/>
    </row>
    <row r="32" spans="1:20" ht="15.75" x14ac:dyDescent="0.25">
      <c r="A32" s="1" t="s">
        <v>15</v>
      </c>
      <c r="B32" s="2"/>
      <c r="C32" s="2"/>
      <c r="D32" s="2"/>
      <c r="E32" s="2"/>
      <c r="F32" s="2"/>
      <c r="G32" s="2"/>
      <c r="Q32" s="21"/>
      <c r="S32" s="30"/>
      <c r="T32" s="30"/>
    </row>
    <row r="33" spans="1:20" ht="15.75" x14ac:dyDescent="0.25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14"/>
      <c r="Q33" s="21"/>
      <c r="S33" s="30"/>
      <c r="T33" s="30"/>
    </row>
    <row r="34" spans="1:20" ht="15.75" x14ac:dyDescent="0.25">
      <c r="A34" s="4" t="s">
        <v>7</v>
      </c>
      <c r="B34" s="4">
        <v>0</v>
      </c>
      <c r="C34" s="4">
        <v>0</v>
      </c>
      <c r="D34" s="4">
        <v>14</v>
      </c>
      <c r="E34" s="4">
        <v>21</v>
      </c>
      <c r="F34" s="4">
        <v>7</v>
      </c>
      <c r="G34" s="4"/>
      <c r="H34" s="10">
        <f>SUM(B34:F34)</f>
        <v>42</v>
      </c>
      <c r="I34" s="16"/>
      <c r="J34" s="16"/>
      <c r="K34" s="19" t="s">
        <v>33</v>
      </c>
      <c r="L34" s="19" t="s">
        <v>28</v>
      </c>
      <c r="M34" s="19" t="s">
        <v>29</v>
      </c>
      <c r="N34" s="19" t="s">
        <v>30</v>
      </c>
      <c r="O34" s="19" t="s">
        <v>31</v>
      </c>
      <c r="P34" s="19"/>
      <c r="Q34" s="21"/>
      <c r="S34" s="32">
        <f>P38</f>
        <v>3.8928571428571428</v>
      </c>
      <c r="T34" s="33" t="str">
        <f>Q38</f>
        <v>PUAS</v>
      </c>
    </row>
    <row r="35" spans="1:20" ht="15.75" x14ac:dyDescent="0.25">
      <c r="A35" s="4" t="s">
        <v>9</v>
      </c>
      <c r="B35" s="4">
        <v>0</v>
      </c>
      <c r="C35" s="4">
        <v>0</v>
      </c>
      <c r="D35" s="4">
        <v>15</v>
      </c>
      <c r="E35" s="4">
        <v>14</v>
      </c>
      <c r="F35" s="4">
        <v>13</v>
      </c>
      <c r="G35" s="4"/>
      <c r="H35" s="10">
        <f>SUM(B35:F35)</f>
        <v>42</v>
      </c>
      <c r="I35" s="16"/>
      <c r="J35" s="16"/>
      <c r="K35" s="19">
        <f>B34</f>
        <v>0</v>
      </c>
      <c r="L35" s="19">
        <f>C34</f>
        <v>0</v>
      </c>
      <c r="M35" s="19">
        <f>D34*3</f>
        <v>42</v>
      </c>
      <c r="N35" s="19">
        <f>E34*4</f>
        <v>84</v>
      </c>
      <c r="O35" s="19">
        <f>F34*5</f>
        <v>35</v>
      </c>
      <c r="P35" s="19">
        <f>SUM(K35:O35)</f>
        <v>161</v>
      </c>
      <c r="Q35" s="21"/>
      <c r="S35" s="32"/>
      <c r="T35" s="32"/>
    </row>
    <row r="36" spans="1:20" ht="15.75" x14ac:dyDescent="0.25">
      <c r="A36" s="4"/>
      <c r="B36" s="4">
        <v>0</v>
      </c>
      <c r="C36" s="4">
        <v>0</v>
      </c>
      <c r="D36" s="4">
        <f>SUM(D34:D35)</f>
        <v>29</v>
      </c>
      <c r="E36" s="4">
        <f t="shared" ref="E36:F36" si="7">SUM(E34:E35)</f>
        <v>35</v>
      </c>
      <c r="F36" s="4">
        <f t="shared" si="7"/>
        <v>20</v>
      </c>
      <c r="G36" s="14"/>
      <c r="H36" s="3">
        <f>SUM(H34:H35)</f>
        <v>84</v>
      </c>
      <c r="K36" s="19">
        <f>B35</f>
        <v>0</v>
      </c>
      <c r="L36" s="19">
        <f>C35</f>
        <v>0</v>
      </c>
      <c r="M36" s="19">
        <f>D35*3</f>
        <v>45</v>
      </c>
      <c r="N36" s="19">
        <f>E35*4</f>
        <v>56</v>
      </c>
      <c r="O36" s="19">
        <f>F35*5</f>
        <v>65</v>
      </c>
      <c r="P36" s="19">
        <f>SUM(K36:O36)</f>
        <v>166</v>
      </c>
      <c r="Q36" s="21"/>
      <c r="S36" s="32"/>
      <c r="T36" s="32"/>
    </row>
    <row r="37" spans="1:20" ht="15.75" x14ac:dyDescent="0.25">
      <c r="A37" s="4"/>
      <c r="B37" s="4">
        <v>0</v>
      </c>
      <c r="C37" s="4">
        <v>0</v>
      </c>
      <c r="D37" s="4">
        <f>D36*3</f>
        <v>87</v>
      </c>
      <c r="E37" s="4">
        <f t="shared" ref="E37:F37" si="8">E36*3</f>
        <v>105</v>
      </c>
      <c r="F37" s="4">
        <f t="shared" si="8"/>
        <v>60</v>
      </c>
      <c r="G37" s="14"/>
      <c r="H37" s="3">
        <f>SUM(B37:F37)</f>
        <v>252</v>
      </c>
      <c r="P37" s="3">
        <f>SUM(P35:P36)</f>
        <v>327</v>
      </c>
      <c r="Q37" s="21"/>
      <c r="S37" s="32"/>
      <c r="T37" s="32"/>
    </row>
    <row r="38" spans="1:20" ht="15.75" x14ac:dyDescent="0.25">
      <c r="A38" s="2"/>
      <c r="B38" s="2"/>
      <c r="C38" s="2"/>
      <c r="D38" s="2"/>
      <c r="E38" s="2"/>
      <c r="F38" s="2"/>
      <c r="G38" s="2"/>
      <c r="P38" s="17">
        <f>P37/H36</f>
        <v>3.8928571428571428</v>
      </c>
      <c r="Q38" s="21" t="s">
        <v>32</v>
      </c>
      <c r="S38" s="32"/>
      <c r="T38" s="32"/>
    </row>
    <row r="39" spans="1:20" ht="15.75" x14ac:dyDescent="0.25">
      <c r="A39" s="2"/>
      <c r="B39" s="2"/>
      <c r="C39" s="2"/>
      <c r="D39" s="2"/>
      <c r="E39" s="2"/>
      <c r="F39" s="2"/>
      <c r="G39" s="2"/>
      <c r="Q39" s="21"/>
      <c r="S39" s="32"/>
      <c r="T39" s="32"/>
    </row>
    <row r="40" spans="1:20" ht="15.75" x14ac:dyDescent="0.25">
      <c r="A40" s="1" t="s">
        <v>16</v>
      </c>
      <c r="B40" s="2"/>
      <c r="C40" s="2"/>
      <c r="D40" s="2"/>
      <c r="E40" s="2"/>
      <c r="F40" s="2"/>
      <c r="G40" s="2"/>
      <c r="Q40" s="21"/>
      <c r="S40" s="32"/>
      <c r="T40" s="32"/>
    </row>
    <row r="41" spans="1:20" ht="15.75" x14ac:dyDescent="0.25">
      <c r="A41" s="4" t="s">
        <v>1</v>
      </c>
      <c r="B41" s="4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14"/>
      <c r="Q41" s="21"/>
      <c r="S41" s="32"/>
      <c r="T41" s="32"/>
    </row>
    <row r="42" spans="1:20" ht="15.75" x14ac:dyDescent="0.25">
      <c r="A42" s="4" t="s">
        <v>7</v>
      </c>
      <c r="B42" s="4">
        <v>0</v>
      </c>
      <c r="C42" s="4">
        <v>0</v>
      </c>
      <c r="D42" s="4">
        <v>11</v>
      </c>
      <c r="E42" s="4">
        <v>22</v>
      </c>
      <c r="F42" s="4">
        <v>9</v>
      </c>
      <c r="G42" s="4"/>
      <c r="H42" s="10">
        <f>SUM(B42:F42)</f>
        <v>42</v>
      </c>
      <c r="I42" s="16"/>
      <c r="J42" s="16"/>
      <c r="K42" s="19" t="s">
        <v>33</v>
      </c>
      <c r="L42" s="19" t="s">
        <v>28</v>
      </c>
      <c r="M42" s="19" t="s">
        <v>29</v>
      </c>
      <c r="N42" s="19" t="s">
        <v>30</v>
      </c>
      <c r="O42" s="19" t="s">
        <v>31</v>
      </c>
      <c r="P42" s="19"/>
      <c r="Q42" s="21"/>
      <c r="S42" s="34">
        <f>P46</f>
        <v>3.9761904761904763</v>
      </c>
      <c r="T42" s="35" t="str">
        <f>Q46</f>
        <v>PUAS</v>
      </c>
    </row>
    <row r="43" spans="1:20" ht="15.75" x14ac:dyDescent="0.25">
      <c r="A43" s="4" t="s">
        <v>9</v>
      </c>
      <c r="B43" s="4">
        <v>0</v>
      </c>
      <c r="C43" s="4">
        <v>0</v>
      </c>
      <c r="D43" s="4">
        <v>12</v>
      </c>
      <c r="E43" s="4">
        <v>18</v>
      </c>
      <c r="F43" s="4">
        <v>12</v>
      </c>
      <c r="G43" s="4"/>
      <c r="H43" s="10">
        <f>SUM(B43:F43)</f>
        <v>42</v>
      </c>
      <c r="I43" s="16"/>
      <c r="J43" s="16"/>
      <c r="K43" s="19">
        <f>B42</f>
        <v>0</v>
      </c>
      <c r="L43" s="19">
        <f>C42</f>
        <v>0</v>
      </c>
      <c r="M43" s="19">
        <f>D42*3</f>
        <v>33</v>
      </c>
      <c r="N43" s="19">
        <f>E42*4</f>
        <v>88</v>
      </c>
      <c r="O43" s="19">
        <f>F42*5</f>
        <v>45</v>
      </c>
      <c r="P43" s="19">
        <f>SUM(K43:O43)</f>
        <v>166</v>
      </c>
      <c r="Q43" s="21"/>
      <c r="S43" s="34"/>
      <c r="T43" s="34"/>
    </row>
    <row r="44" spans="1:20" ht="15.75" x14ac:dyDescent="0.25">
      <c r="A44" s="4"/>
      <c r="B44" s="4">
        <v>0</v>
      </c>
      <c r="C44" s="4">
        <v>0</v>
      </c>
      <c r="D44" s="4">
        <f>SUM(D42:D43)</f>
        <v>23</v>
      </c>
      <c r="E44" s="4">
        <f t="shared" ref="E44:F45" si="9">E43*3</f>
        <v>54</v>
      </c>
      <c r="F44" s="4">
        <f t="shared" si="9"/>
        <v>36</v>
      </c>
      <c r="G44" s="14"/>
      <c r="H44" s="3">
        <f>SUM(H42:H43)</f>
        <v>84</v>
      </c>
      <c r="K44" s="19">
        <f>B43</f>
        <v>0</v>
      </c>
      <c r="L44" s="19">
        <f>C43</f>
        <v>0</v>
      </c>
      <c r="M44" s="19">
        <f>D43*3</f>
        <v>36</v>
      </c>
      <c r="N44" s="19">
        <f>E43*4</f>
        <v>72</v>
      </c>
      <c r="O44" s="19">
        <f>F43*5</f>
        <v>60</v>
      </c>
      <c r="P44" s="19">
        <f>SUM(K44:O44)</f>
        <v>168</v>
      </c>
      <c r="Q44" s="21"/>
      <c r="S44" s="34"/>
      <c r="T44" s="34"/>
    </row>
    <row r="45" spans="1:20" ht="15.75" x14ac:dyDescent="0.25">
      <c r="A45" s="4"/>
      <c r="B45" s="4">
        <v>0</v>
      </c>
      <c r="C45" s="4">
        <v>0</v>
      </c>
      <c r="D45" s="4">
        <f>D44*3</f>
        <v>69</v>
      </c>
      <c r="E45" s="4">
        <f t="shared" si="9"/>
        <v>162</v>
      </c>
      <c r="F45" s="4">
        <f t="shared" si="9"/>
        <v>108</v>
      </c>
      <c r="G45" s="14"/>
      <c r="H45" s="3">
        <f>SUM(B45:F45)</f>
        <v>339</v>
      </c>
      <c r="P45" s="3">
        <f>SUM(P43:P44)</f>
        <v>334</v>
      </c>
      <c r="Q45" s="21"/>
      <c r="S45" s="34"/>
      <c r="T45" s="34"/>
    </row>
    <row r="46" spans="1:20" x14ac:dyDescent="0.25">
      <c r="P46" s="20">
        <f>P45/H44</f>
        <v>3.9761904761904763</v>
      </c>
      <c r="Q46" s="21" t="s">
        <v>32</v>
      </c>
      <c r="S46" s="34"/>
      <c r="T46" s="3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ktb</dc:creator>
  <cp:lastModifiedBy>Lenovo PC</cp:lastModifiedBy>
  <dcterms:created xsi:type="dcterms:W3CDTF">2026-05-31T18:31:09Z</dcterms:created>
  <dcterms:modified xsi:type="dcterms:W3CDTF">2026-06-01T13:21:36Z</dcterms:modified>
</cp:coreProperties>
</file>