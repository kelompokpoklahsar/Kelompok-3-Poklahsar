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547E4FEB-BDDF-4799-912C-95F3CE155A60}" xr6:coauthVersionLast="47" xr6:coauthVersionMax="47" xr10:uidLastSave="{00000000-0000-0000-0000-000000000000}"/>
  <bookViews>
    <workbookView xWindow="-108" yWindow="-108" windowWidth="23256" windowHeight="12576" xr2:uid="{972491B5-3426-49FE-B4DD-2734938F26CA}"/>
  </bookViews>
  <sheets>
    <sheet name="Analisis PIECES" sheetId="2" r:id="rId1"/>
    <sheet name="Data Tingkat Kepuasan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2" l="1"/>
  <c r="H7" i="2"/>
  <c r="B10" i="2"/>
  <c r="B33" i="2"/>
  <c r="B42" i="2"/>
  <c r="A3" i="2"/>
  <c r="B3" i="2" s="1"/>
  <c r="A4" i="2"/>
  <c r="B4" i="2" s="1"/>
  <c r="A5" i="2"/>
  <c r="B5" i="2" s="1"/>
  <c r="A6" i="2"/>
  <c r="B6" i="2" s="1"/>
  <c r="A7" i="2"/>
  <c r="B7" i="2" s="1"/>
  <c r="A8" i="2"/>
  <c r="B8" i="2" s="1"/>
  <c r="A9" i="2"/>
  <c r="B9" i="2" s="1"/>
  <c r="A10" i="2"/>
  <c r="A11" i="2"/>
  <c r="B11" i="2" s="1"/>
  <c r="A12" i="2"/>
  <c r="B12" i="2" s="1"/>
  <c r="A13" i="2"/>
  <c r="B13" i="2" s="1"/>
  <c r="A14" i="2"/>
  <c r="B14" i="2" s="1"/>
  <c r="A15" i="2"/>
  <c r="B15" i="2" s="1"/>
  <c r="A16" i="2"/>
  <c r="B16" i="2" s="1"/>
  <c r="A17" i="2"/>
  <c r="B17" i="2" s="1"/>
  <c r="A18" i="2"/>
  <c r="B18" i="2" s="1"/>
  <c r="A19" i="2"/>
  <c r="B19" i="2" s="1"/>
  <c r="A20" i="2"/>
  <c r="B20" i="2" s="1"/>
  <c r="A21" i="2"/>
  <c r="B21" i="2" s="1"/>
  <c r="A22" i="2"/>
  <c r="B22" i="2" s="1"/>
  <c r="A23" i="2"/>
  <c r="B23" i="2" s="1"/>
  <c r="A24" i="2"/>
  <c r="B24" i="2" s="1"/>
  <c r="A25" i="2"/>
  <c r="B25" i="2" s="1"/>
  <c r="A26" i="2"/>
  <c r="B26" i="2" s="1"/>
  <c r="A27" i="2"/>
  <c r="B27" i="2" s="1"/>
  <c r="A28" i="2"/>
  <c r="B28" i="2" s="1"/>
  <c r="A29" i="2"/>
  <c r="B29" i="2" s="1"/>
  <c r="A30" i="2"/>
  <c r="B30" i="2" s="1"/>
  <c r="A31" i="2"/>
  <c r="B31" i="2" s="1"/>
  <c r="A32" i="2"/>
  <c r="B32" i="2" s="1"/>
  <c r="A33" i="2"/>
  <c r="A34" i="2"/>
  <c r="B34" i="2" s="1"/>
  <c r="A35" i="2"/>
  <c r="B35" i="2" s="1"/>
  <c r="A36" i="2"/>
  <c r="B36" i="2" s="1"/>
  <c r="A37" i="2"/>
  <c r="B37" i="2" s="1"/>
  <c r="A38" i="2"/>
  <c r="B38" i="2" s="1"/>
  <c r="A39" i="2"/>
  <c r="B39" i="2" s="1"/>
  <c r="A40" i="2"/>
  <c r="B40" i="2" s="1"/>
  <c r="A41" i="2"/>
  <c r="B41" i="2" s="1"/>
  <c r="A42" i="2"/>
  <c r="A43" i="2"/>
  <c r="B43" i="2" s="1"/>
  <c r="A2" i="2"/>
  <c r="B2" i="2" s="1"/>
</calcChain>
</file>

<file path=xl/sharedStrings.xml><?xml version="1.0" encoding="utf-8"?>
<sst xmlns="http://schemas.openxmlformats.org/spreadsheetml/2006/main" count="89" uniqueCount="87">
  <si>
    <t>Timestamp</t>
  </si>
  <si>
    <t>Nama</t>
  </si>
  <si>
    <t>1. Bagaimana tingkat kepuasan terhadap kemudahan penggunaan Sistem Informasi POKLAHSAR?</t>
  </si>
  <si>
    <t>2. Bagaimana tingkat kepuasan terhadap kecepatan sistem dalam membuka dan menjalankan fitur Iuran Kelompok?</t>
  </si>
  <si>
    <t>3. Bagaimana tingkat kepuasan terhadap kejelasan informasi yang ditampilkan pada fitur Iuran Kelompok?</t>
  </si>
  <si>
    <t>4. Bagaimana tingkat kepuasan terhadap ketepatan data iuran yang tersimpan pada fitur Iuran Kelompok?</t>
  </si>
  <si>
    <t>5. Bagaimana tingkat kepuasan terhadap manfaat fitur Iuran Kelompok dalam mengurangi penggunaan buku pencatatan manual?</t>
  </si>
  <si>
    <t>6. Bagaimana tingkat kepuasan terhadap manfaat fitur Iuran Kelompok dalam menghemat waktu pengelolaan data iuran?</t>
  </si>
  <si>
    <t>7. Bagaimana tingkat kepuasan terhadap keamanan data iuran anggota yang tersimpan pada sistem?</t>
  </si>
  <si>
    <t>8. Bagaimana tingkat kepuasan terhadap kemampuan fitur Iuran Kelompok dalam mengurangi kesalahan pencatatan data iuran?</t>
  </si>
  <si>
    <t>9. Bagaimana tingkat kepuasan terhadap kemudahan pencarian data iuran anggota pada fitur Iuran Kelompok?</t>
  </si>
  <si>
    <t>10. Bagaimana tingkat kepuasan terhadap kemudahan pengelolaan dan rekapitulasi data iuran kelompok menggunakan fitur Iuran Kelompok?</t>
  </si>
  <si>
    <t>11. Bagaimana tingkat kepuasan terhadap tampilan dan kemudahan penggunaan fitur Iuran Kelompok?</t>
  </si>
  <si>
    <t>12. Bagaimana tingkat kepuasan secara keseluruhan terhadap fitur Iuran Kelompok pada Sistem Informasi POKLAHSAR?</t>
  </si>
  <si>
    <t>5/31/2026 21:23:14</t>
  </si>
  <si>
    <t>Habibah</t>
  </si>
  <si>
    <t>5/31/2026 21:28:14</t>
  </si>
  <si>
    <t>Partini</t>
  </si>
  <si>
    <t>5/31/2026 21:35:52</t>
  </si>
  <si>
    <t>Maenah</t>
  </si>
  <si>
    <t>5/31/2026 21:51:42</t>
  </si>
  <si>
    <t>Ida Susanti</t>
  </si>
  <si>
    <t>5/31/2026 21:52:00</t>
  </si>
  <si>
    <t>Sarwo</t>
  </si>
  <si>
    <t>5/31/2026 21:52:54</t>
  </si>
  <si>
    <t>Wiwin Sunarti</t>
  </si>
  <si>
    <t>5/31/2026 21:53:26</t>
  </si>
  <si>
    <t>Ria Hartini</t>
  </si>
  <si>
    <t>5/31/2026 21:53:57</t>
  </si>
  <si>
    <t>Juliasih</t>
  </si>
  <si>
    <t>5/31/2026 21:54:28</t>
  </si>
  <si>
    <t>Syamsyiah</t>
  </si>
  <si>
    <t>5/31/2026 21:54:56</t>
  </si>
  <si>
    <t>Neneng</t>
  </si>
  <si>
    <t>5/31/2026 21:55:28</t>
  </si>
  <si>
    <t>Supinah</t>
  </si>
  <si>
    <t>5/31/2026 21:55:50</t>
  </si>
  <si>
    <t>Jirah</t>
  </si>
  <si>
    <t>5/31/2026 21:56:20</t>
  </si>
  <si>
    <t>Ani</t>
  </si>
  <si>
    <t>5/31/2026 21:56:46</t>
  </si>
  <si>
    <t>Warti B</t>
  </si>
  <si>
    <t>5/31/2026 21:57:09</t>
  </si>
  <si>
    <t>Indayani</t>
  </si>
  <si>
    <t>5/31/2026 21:57:34</t>
  </si>
  <si>
    <t>Amina</t>
  </si>
  <si>
    <t>Uswa Hasanah As’ad</t>
  </si>
  <si>
    <t>Jumriyah</t>
  </si>
  <si>
    <t>Sainab</t>
  </si>
  <si>
    <t>Nor Arofah</t>
  </si>
  <si>
    <t>Mu’minah</t>
  </si>
  <si>
    <t>Rokidah</t>
  </si>
  <si>
    <t>Mutmaimah</t>
  </si>
  <si>
    <t>Warti A</t>
  </si>
  <si>
    <t>Habibbahurripa’ah</t>
  </si>
  <si>
    <t>Ani Maya Sopa</t>
  </si>
  <si>
    <t>Seniah</t>
  </si>
  <si>
    <t>Saerah</t>
  </si>
  <si>
    <t>Fatmawati</t>
  </si>
  <si>
    <t>Suriyati</t>
  </si>
  <si>
    <t>Sulasri</t>
  </si>
  <si>
    <t>Sariyah</t>
  </si>
  <si>
    <t>Sunarsih, S</t>
  </si>
  <si>
    <t>Ira Yusnita</t>
  </si>
  <si>
    <t>Cici</t>
  </si>
  <si>
    <t>Cucu R</t>
  </si>
  <si>
    <t>Rohma</t>
  </si>
  <si>
    <t>Titi M</t>
  </si>
  <si>
    <t>Kartini</t>
  </si>
  <si>
    <t>Semiati</t>
  </si>
  <si>
    <t>Sri Sumarni</t>
  </si>
  <si>
    <t>Nilai Skor Total</t>
  </si>
  <si>
    <t>Kategori</t>
  </si>
  <si>
    <t>Interval</t>
  </si>
  <si>
    <t>Nilai</t>
  </si>
  <si>
    <t>Frekuensi</t>
  </si>
  <si>
    <t>Presentase</t>
  </si>
  <si>
    <t>1-1,8</t>
  </si>
  <si>
    <t>Sangat Tidak Puas</t>
  </si>
  <si>
    <t>1,81-2,6</t>
  </si>
  <si>
    <t>Tidak Puas</t>
  </si>
  <si>
    <t>2,61-3,4</t>
  </si>
  <si>
    <t>Puas</t>
  </si>
  <si>
    <t>3,41-4,2</t>
  </si>
  <si>
    <t>Cukup Puas</t>
  </si>
  <si>
    <t>4,21-5</t>
  </si>
  <si>
    <t>Sangat Puas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</si>
</sst>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FFFFFF"/>
      <name val="Roboto"/>
    </font>
    <font>
      <sz val="10"/>
      <color theme="1"/>
      <name val="Arial"/>
      <family val="2"/>
    </font>
    <font>
      <sz val="10"/>
      <color rgb="FF434343"/>
      <name val="Roboto"/>
    </font>
  </fonts>
  <fills count="7">
    <fill>
      <patternFill patternType="none"/>
    </fill>
    <fill>
      <patternFill patternType="gray125"/>
    </fill>
    <fill>
      <patternFill patternType="solid">
        <fgColor rgb="FF5B3F8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15">
    <border>
      <left/>
      <right/>
      <top/>
      <bottom/>
      <diagonal/>
    </border>
    <border>
      <left style="medium">
        <color rgb="FF442F65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442F65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CCCCCC"/>
      </right>
      <top style="medium">
        <color rgb="FFE8EAED"/>
      </top>
      <bottom style="medium">
        <color rgb="FFCCCCCC"/>
      </bottom>
      <diagonal/>
    </border>
    <border>
      <left style="medium">
        <color rgb="FF442F65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442F65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442F65"/>
      </left>
      <right style="medium">
        <color rgb="FFF8F9FA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442F6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0">
    <xf numFmtId="0" fontId="0" fillId="0" borderId="0" xfId="0"/>
    <xf numFmtId="0" fontId="4" fillId="0" borderId="4" xfId="0" applyFont="1" applyBorder="1" applyAlignment="1">
      <alignment wrapText="1"/>
    </xf>
    <xf numFmtId="0" fontId="4" fillId="0" borderId="8" xfId="0" applyFont="1" applyBorder="1" applyAlignment="1">
      <alignment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5" fillId="4" borderId="10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22" fontId="5" fillId="3" borderId="5" xfId="0" applyNumberFormat="1" applyFont="1" applyFill="1" applyBorder="1" applyAlignment="1">
      <alignment horizontal="center" vertical="center" wrapText="1"/>
    </xf>
    <xf numFmtId="22" fontId="5" fillId="4" borderId="9" xfId="0" applyNumberFormat="1" applyFont="1" applyFill="1" applyBorder="1" applyAlignment="1">
      <alignment horizontal="center" vertical="center" wrapText="1"/>
    </xf>
    <xf numFmtId="22" fontId="5" fillId="4" borderId="11" xfId="0" applyNumberFormat="1" applyFont="1" applyFill="1" applyBorder="1" applyAlignment="1">
      <alignment horizontal="center" vertical="center" wrapText="1"/>
    </xf>
    <xf numFmtId="0" fontId="5" fillId="4" borderId="12" xfId="0" applyFont="1" applyFill="1" applyBorder="1" applyAlignment="1">
      <alignment horizontal="center" vertical="center" wrapText="1"/>
    </xf>
    <xf numFmtId="0" fontId="5" fillId="4" borderId="13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left" vertical="center" wrapText="1"/>
    </xf>
    <xf numFmtId="0" fontId="5" fillId="4" borderId="10" xfId="0" applyFont="1" applyFill="1" applyBorder="1" applyAlignment="1">
      <alignment horizontal="left" vertical="center" wrapText="1"/>
    </xf>
    <xf numFmtId="0" fontId="5" fillId="4" borderId="12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wrapText="1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2" fillId="5" borderId="14" xfId="0" applyFont="1" applyFill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4" xfId="0" applyBorder="1"/>
    <xf numFmtId="0" fontId="2" fillId="6" borderId="14" xfId="0" applyFont="1" applyFill="1" applyBorder="1" applyAlignment="1">
      <alignment horizontal="center"/>
    </xf>
    <xf numFmtId="9" fontId="0" fillId="0" borderId="14" xfId="1" applyFont="1" applyBorder="1" applyAlignment="1">
      <alignment horizontal="center"/>
    </xf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Tingkat Kepuasan Penggunaan Layanan Iuran Kelompok pada Sistem Informasi POKLAHSAR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v>Tingkat Kepuasan Penggunaan Fitur Iuran Kelompok pada Sistem Informasi POKLAHSAR</c:v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'Analisis PIECES'!$E$1:$E$6</c:f>
              <c:strCache>
                <c:ptCount val="6"/>
                <c:pt idx="0">
                  <c:v>Kategori</c:v>
                </c:pt>
                <c:pt idx="1">
                  <c:v>Sangat Tidak Puas</c:v>
                </c:pt>
                <c:pt idx="2">
                  <c:v>Tidak Puas</c:v>
                </c:pt>
                <c:pt idx="3">
                  <c:v>Puas</c:v>
                </c:pt>
                <c:pt idx="4">
                  <c:v>Cukup Puas</c:v>
                </c:pt>
                <c:pt idx="5">
                  <c:v>Sangat Puas</c:v>
                </c:pt>
              </c:strCache>
            </c:strRef>
          </c:cat>
          <c:val>
            <c:numRef>
              <c:f>'Analisis PIECES'!$H$2:$H$6</c:f>
              <c:numCache>
                <c:formatCode>0%</c:formatCode>
                <c:ptCount val="5"/>
                <c:pt idx="0">
                  <c:v>0</c:v>
                </c:pt>
                <c:pt idx="1">
                  <c:v>0.06</c:v>
                </c:pt>
                <c:pt idx="2">
                  <c:v>0.08</c:v>
                </c:pt>
                <c:pt idx="3">
                  <c:v>0.25</c:v>
                </c:pt>
                <c:pt idx="4">
                  <c:v>0.03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BCC-40C5-8AD4-92AF324BBDB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8</xdr:row>
      <xdr:rowOff>72390</xdr:rowOff>
    </xdr:from>
    <xdr:to>
      <xdr:col>8</xdr:col>
      <xdr:colOff>76200</xdr:colOff>
      <xdr:row>23</xdr:row>
      <xdr:rowOff>72390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10246D0-AA94-44FF-8296-6CA0330628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C612B-03F8-447D-8729-904B9A4FE01E}">
  <dimension ref="A1:H43"/>
  <sheetViews>
    <sheetView tabSelected="1" workbookViewId="0">
      <selection activeCell="N17" sqref="N17"/>
    </sheetView>
  </sheetViews>
  <sheetFormatPr defaultRowHeight="14.4" x14ac:dyDescent="0.3"/>
  <cols>
    <col min="1" max="1" width="16.109375" style="22" customWidth="1"/>
    <col min="2" max="2" width="14.6640625" style="22" customWidth="1"/>
    <col min="5" max="5" width="15.77734375" customWidth="1"/>
    <col min="7" max="7" width="10.77734375" customWidth="1"/>
    <col min="8" max="8" width="11.44140625" customWidth="1"/>
  </cols>
  <sheetData>
    <row r="1" spans="1:8" x14ac:dyDescent="0.3">
      <c r="A1" s="23" t="s">
        <v>71</v>
      </c>
      <c r="B1" s="23" t="s">
        <v>72</v>
      </c>
      <c r="D1" s="27" t="s">
        <v>73</v>
      </c>
      <c r="E1" s="27" t="s">
        <v>72</v>
      </c>
      <c r="F1" s="27" t="s">
        <v>74</v>
      </c>
      <c r="G1" s="27" t="s">
        <v>75</v>
      </c>
      <c r="H1" s="27" t="s">
        <v>76</v>
      </c>
    </row>
    <row r="2" spans="1:8" x14ac:dyDescent="0.3">
      <c r="A2" s="24">
        <f>SUM('Data Tingkat Kepuasan'!C2:N2)/12</f>
        <v>4.166666666666667</v>
      </c>
      <c r="B2" s="25" t="str">
        <f>IF(A2&lt;=1.8,"Sangat Tidak Puas",IF(A2&lt;=2.6,"Tidak Puas",IF(A2&lt;=3.4,"Puas",IF(A2&lt;=4.2,"Cukup Puas",IF(A2&lt;=5,"Sangat Puas")))))</f>
        <v>Cukup Puas</v>
      </c>
      <c r="D2" s="25" t="s">
        <v>77</v>
      </c>
      <c r="E2" s="26" t="s">
        <v>78</v>
      </c>
      <c r="F2" s="25">
        <v>1</v>
      </c>
      <c r="G2" s="25">
        <v>0</v>
      </c>
      <c r="H2" s="28">
        <f>G2/G7*100</f>
        <v>0</v>
      </c>
    </row>
    <row r="3" spans="1:8" x14ac:dyDescent="0.3">
      <c r="A3" s="24">
        <f>SUM('Data Tingkat Kepuasan'!C3:N3)/12</f>
        <v>3.5</v>
      </c>
      <c r="B3" s="25" t="str">
        <f t="shared" ref="B3:B43" si="0">IF(A3&lt;=1.8,"Sangat Tidak Puas",IF(A3&lt;=2.6,"Tidak Puas",IF(A3&lt;=3.4,"Puas",IF(A3&lt;=4.2,"Cukup Puas",IF(A3&lt;=5,"Sangat Puas")))))</f>
        <v>Cukup Puas</v>
      </c>
      <c r="D3" s="25" t="s">
        <v>79</v>
      </c>
      <c r="E3" s="26" t="s">
        <v>80</v>
      </c>
      <c r="F3" s="25">
        <v>2</v>
      </c>
      <c r="G3" s="25">
        <v>6</v>
      </c>
      <c r="H3" s="28">
        <v>0.06</v>
      </c>
    </row>
    <row r="4" spans="1:8" x14ac:dyDescent="0.3">
      <c r="A4" s="24">
        <f>SUM('Data Tingkat Kepuasan'!C4:N4)/12</f>
        <v>3.3333333333333335</v>
      </c>
      <c r="B4" s="25" t="str">
        <f t="shared" si="0"/>
        <v>Puas</v>
      </c>
      <c r="D4" s="25" t="s">
        <v>81</v>
      </c>
      <c r="E4" s="26" t="s">
        <v>82</v>
      </c>
      <c r="F4" s="25">
        <v>3</v>
      </c>
      <c r="G4" s="25">
        <v>8</v>
      </c>
      <c r="H4" s="28">
        <v>0.08</v>
      </c>
    </row>
    <row r="5" spans="1:8" x14ac:dyDescent="0.3">
      <c r="A5" s="24">
        <f>SUM('Data Tingkat Kepuasan'!C5:N5)/12</f>
        <v>3.25</v>
      </c>
      <c r="B5" s="25" t="str">
        <f t="shared" si="0"/>
        <v>Puas</v>
      </c>
      <c r="D5" s="25" t="s">
        <v>83</v>
      </c>
      <c r="E5" s="26" t="s">
        <v>84</v>
      </c>
      <c r="F5" s="25">
        <v>4</v>
      </c>
      <c r="G5" s="25">
        <v>25</v>
      </c>
      <c r="H5" s="28">
        <v>0.25</v>
      </c>
    </row>
    <row r="6" spans="1:8" x14ac:dyDescent="0.3">
      <c r="A6" s="24">
        <f>SUM('Data Tingkat Kepuasan'!C6:N6)/12</f>
        <v>3.6666666666666665</v>
      </c>
      <c r="B6" s="25" t="str">
        <f t="shared" si="0"/>
        <v>Cukup Puas</v>
      </c>
      <c r="D6" s="25" t="s">
        <v>85</v>
      </c>
      <c r="E6" s="26" t="s">
        <v>86</v>
      </c>
      <c r="F6" s="25">
        <v>5</v>
      </c>
      <c r="G6" s="25">
        <v>3</v>
      </c>
      <c r="H6" s="28">
        <v>0.03</v>
      </c>
    </row>
    <row r="7" spans="1:8" x14ac:dyDescent="0.3">
      <c r="A7" s="24">
        <f>SUM('Data Tingkat Kepuasan'!C7:N7)/12</f>
        <v>3.75</v>
      </c>
      <c r="B7" s="25" t="str">
        <f t="shared" si="0"/>
        <v>Cukup Puas</v>
      </c>
      <c r="D7" s="26"/>
      <c r="E7" s="26"/>
      <c r="F7" s="26"/>
      <c r="G7" s="25">
        <v>42</v>
      </c>
      <c r="H7" s="28">
        <f>SUM(H2:H6)</f>
        <v>0.42000000000000004</v>
      </c>
    </row>
    <row r="8" spans="1:8" x14ac:dyDescent="0.3">
      <c r="A8" s="24">
        <f>SUM('Data Tingkat Kepuasan'!C8:N8)/12</f>
        <v>3.8333333333333335</v>
      </c>
      <c r="B8" s="25" t="str">
        <f t="shared" si="0"/>
        <v>Cukup Puas</v>
      </c>
      <c r="H8" s="29"/>
    </row>
    <row r="9" spans="1:8" x14ac:dyDescent="0.3">
      <c r="A9" s="24">
        <f>SUM('Data Tingkat Kepuasan'!C9:N9)/12</f>
        <v>4</v>
      </c>
      <c r="B9" s="25" t="str">
        <f t="shared" si="0"/>
        <v>Cukup Puas</v>
      </c>
    </row>
    <row r="10" spans="1:8" x14ac:dyDescent="0.3">
      <c r="A10" s="24">
        <f>SUM('Data Tingkat Kepuasan'!C10:N10)/12</f>
        <v>3.8333333333333335</v>
      </c>
      <c r="B10" s="25" t="str">
        <f t="shared" si="0"/>
        <v>Cukup Puas</v>
      </c>
    </row>
    <row r="11" spans="1:8" x14ac:dyDescent="0.3">
      <c r="A11" s="24">
        <f>SUM('Data Tingkat Kepuasan'!C11:N11)/12</f>
        <v>3.8333333333333335</v>
      </c>
      <c r="B11" s="25" t="str">
        <f t="shared" si="0"/>
        <v>Cukup Puas</v>
      </c>
    </row>
    <row r="12" spans="1:8" x14ac:dyDescent="0.3">
      <c r="A12" s="24">
        <f>SUM('Data Tingkat Kepuasan'!C12:N12)/12</f>
        <v>3.9166666666666665</v>
      </c>
      <c r="B12" s="25" t="str">
        <f t="shared" si="0"/>
        <v>Cukup Puas</v>
      </c>
    </row>
    <row r="13" spans="1:8" x14ac:dyDescent="0.3">
      <c r="A13" s="24">
        <f>SUM('Data Tingkat Kepuasan'!C13:N13)/12</f>
        <v>4</v>
      </c>
      <c r="B13" s="25" t="str">
        <f t="shared" si="0"/>
        <v>Cukup Puas</v>
      </c>
    </row>
    <row r="14" spans="1:8" x14ac:dyDescent="0.3">
      <c r="A14" s="24">
        <f>SUM('Data Tingkat Kepuasan'!C14:N14)/12</f>
        <v>4.083333333333333</v>
      </c>
      <c r="B14" s="25" t="str">
        <f t="shared" si="0"/>
        <v>Cukup Puas</v>
      </c>
    </row>
    <row r="15" spans="1:8" x14ac:dyDescent="0.3">
      <c r="A15" s="24">
        <f>SUM('Data Tingkat Kepuasan'!C15:N15)/12</f>
        <v>4</v>
      </c>
      <c r="B15" s="25" t="str">
        <f t="shared" si="0"/>
        <v>Cukup Puas</v>
      </c>
    </row>
    <row r="16" spans="1:8" x14ac:dyDescent="0.3">
      <c r="A16" s="24">
        <f>SUM('Data Tingkat Kepuasan'!C16:N16)/12</f>
        <v>3.9166666666666665</v>
      </c>
      <c r="B16" s="25" t="str">
        <f t="shared" si="0"/>
        <v>Cukup Puas</v>
      </c>
    </row>
    <row r="17" spans="1:2" x14ac:dyDescent="0.3">
      <c r="A17" s="24">
        <f>SUM('Data Tingkat Kepuasan'!C17:N17)/12</f>
        <v>3.8333333333333335</v>
      </c>
      <c r="B17" s="25" t="str">
        <f t="shared" si="0"/>
        <v>Cukup Puas</v>
      </c>
    </row>
    <row r="18" spans="1:2" x14ac:dyDescent="0.3">
      <c r="A18" s="24">
        <f>SUM('Data Tingkat Kepuasan'!C18:N18)/12</f>
        <v>4</v>
      </c>
      <c r="B18" s="25" t="str">
        <f t="shared" si="0"/>
        <v>Cukup Puas</v>
      </c>
    </row>
    <row r="19" spans="1:2" x14ac:dyDescent="0.3">
      <c r="A19" s="24">
        <f>SUM('Data Tingkat Kepuasan'!C19:N19)/12</f>
        <v>3.4166666666666665</v>
      </c>
      <c r="B19" s="25" t="str">
        <f t="shared" si="0"/>
        <v>Cukup Puas</v>
      </c>
    </row>
    <row r="20" spans="1:2" x14ac:dyDescent="0.3">
      <c r="A20" s="24">
        <f>SUM('Data Tingkat Kepuasan'!C20:N20)/12</f>
        <v>3.5833333333333335</v>
      </c>
      <c r="B20" s="25" t="str">
        <f t="shared" si="0"/>
        <v>Cukup Puas</v>
      </c>
    </row>
    <row r="21" spans="1:2" x14ac:dyDescent="0.3">
      <c r="A21" s="24">
        <f>SUM('Data Tingkat Kepuasan'!C21:N21)/12</f>
        <v>3.4166666666666665</v>
      </c>
      <c r="B21" s="25" t="str">
        <f t="shared" si="0"/>
        <v>Cukup Puas</v>
      </c>
    </row>
    <row r="22" spans="1:2" x14ac:dyDescent="0.3">
      <c r="A22" s="24">
        <f>SUM('Data Tingkat Kepuasan'!C22:N22)/12</f>
        <v>3.1666666666666665</v>
      </c>
      <c r="B22" s="25" t="str">
        <f t="shared" si="0"/>
        <v>Puas</v>
      </c>
    </row>
    <row r="23" spans="1:2" x14ac:dyDescent="0.3">
      <c r="A23" s="24">
        <f>SUM('Data Tingkat Kepuasan'!C23:N23)/12</f>
        <v>3.75</v>
      </c>
      <c r="B23" s="25" t="str">
        <f t="shared" si="0"/>
        <v>Cukup Puas</v>
      </c>
    </row>
    <row r="24" spans="1:2" x14ac:dyDescent="0.3">
      <c r="A24" s="24">
        <f>SUM('Data Tingkat Kepuasan'!C24:N24)/12</f>
        <v>3.6666666666666665</v>
      </c>
      <c r="B24" s="25" t="str">
        <f t="shared" si="0"/>
        <v>Cukup Puas</v>
      </c>
    </row>
    <row r="25" spans="1:2" x14ac:dyDescent="0.3">
      <c r="A25" s="24">
        <f>SUM('Data Tingkat Kepuasan'!C25:N25)/12</f>
        <v>2.8333333333333335</v>
      </c>
      <c r="B25" s="25" t="str">
        <f t="shared" si="0"/>
        <v>Puas</v>
      </c>
    </row>
    <row r="26" spans="1:2" x14ac:dyDescent="0.3">
      <c r="A26" s="24">
        <f>SUM('Data Tingkat Kepuasan'!C26:N26)/12</f>
        <v>2.5</v>
      </c>
      <c r="B26" s="25" t="str">
        <f t="shared" si="0"/>
        <v>Tidak Puas</v>
      </c>
    </row>
    <row r="27" spans="1:2" x14ac:dyDescent="0.3">
      <c r="A27" s="24">
        <f>SUM('Data Tingkat Kepuasan'!C27:N27)/12</f>
        <v>4.083333333333333</v>
      </c>
      <c r="B27" s="25" t="str">
        <f t="shared" si="0"/>
        <v>Cukup Puas</v>
      </c>
    </row>
    <row r="28" spans="1:2" x14ac:dyDescent="0.3">
      <c r="A28" s="24">
        <f>SUM('Data Tingkat Kepuasan'!C28:N28)/12</f>
        <v>4.25</v>
      </c>
      <c r="B28" s="25" t="str">
        <f t="shared" si="0"/>
        <v>Sangat Puas</v>
      </c>
    </row>
    <row r="29" spans="1:2" x14ac:dyDescent="0.3">
      <c r="A29" s="24">
        <f>SUM('Data Tingkat Kepuasan'!C29:N29)/12</f>
        <v>4.166666666666667</v>
      </c>
      <c r="B29" s="25" t="str">
        <f t="shared" si="0"/>
        <v>Cukup Puas</v>
      </c>
    </row>
    <row r="30" spans="1:2" x14ac:dyDescent="0.3">
      <c r="A30" s="24">
        <f>SUM('Data Tingkat Kepuasan'!C30:N30)/12</f>
        <v>2</v>
      </c>
      <c r="B30" s="25" t="str">
        <f t="shared" si="0"/>
        <v>Tidak Puas</v>
      </c>
    </row>
    <row r="31" spans="1:2" x14ac:dyDescent="0.3">
      <c r="A31" s="24">
        <f>SUM('Data Tingkat Kepuasan'!C31:N31)/12</f>
        <v>4.083333333333333</v>
      </c>
      <c r="B31" s="25" t="str">
        <f t="shared" si="0"/>
        <v>Cukup Puas</v>
      </c>
    </row>
    <row r="32" spans="1:2" x14ac:dyDescent="0.3">
      <c r="A32" s="24">
        <f>SUM('Data Tingkat Kepuasan'!C32:N32)/12</f>
        <v>4.333333333333333</v>
      </c>
      <c r="B32" s="25" t="str">
        <f t="shared" si="0"/>
        <v>Sangat Puas</v>
      </c>
    </row>
    <row r="33" spans="1:2" x14ac:dyDescent="0.3">
      <c r="A33" s="24">
        <f>SUM('Data Tingkat Kepuasan'!C33:N33)/12</f>
        <v>4.25</v>
      </c>
      <c r="B33" s="25" t="str">
        <f t="shared" si="0"/>
        <v>Sangat Puas</v>
      </c>
    </row>
    <row r="34" spans="1:2" x14ac:dyDescent="0.3">
      <c r="A34" s="24">
        <f>SUM('Data Tingkat Kepuasan'!C34:N34)/12</f>
        <v>2.5</v>
      </c>
      <c r="B34" s="25" t="str">
        <f t="shared" si="0"/>
        <v>Tidak Puas</v>
      </c>
    </row>
    <row r="35" spans="1:2" x14ac:dyDescent="0.3">
      <c r="A35" s="24">
        <f>SUM('Data Tingkat Kepuasan'!C35:N35)/12</f>
        <v>3.0833333333333335</v>
      </c>
      <c r="B35" s="25" t="str">
        <f t="shared" si="0"/>
        <v>Puas</v>
      </c>
    </row>
    <row r="36" spans="1:2" x14ac:dyDescent="0.3">
      <c r="A36" s="24">
        <f>SUM('Data Tingkat Kepuasan'!C36:N36)/12</f>
        <v>2.1666666666666665</v>
      </c>
      <c r="B36" s="25" t="str">
        <f t="shared" si="0"/>
        <v>Tidak Puas</v>
      </c>
    </row>
    <row r="37" spans="1:2" x14ac:dyDescent="0.3">
      <c r="A37" s="24">
        <f>SUM('Data Tingkat Kepuasan'!C37:N37)/12</f>
        <v>3.0833333333333335</v>
      </c>
      <c r="B37" s="25" t="str">
        <f t="shared" si="0"/>
        <v>Puas</v>
      </c>
    </row>
    <row r="38" spans="1:2" x14ac:dyDescent="0.3">
      <c r="A38" s="24">
        <f>SUM('Data Tingkat Kepuasan'!C38:N38)/12</f>
        <v>2.4166666666666665</v>
      </c>
      <c r="B38" s="25" t="str">
        <f t="shared" si="0"/>
        <v>Tidak Puas</v>
      </c>
    </row>
    <row r="39" spans="1:2" x14ac:dyDescent="0.3">
      <c r="A39" s="24">
        <f>SUM('Data Tingkat Kepuasan'!C39:N39)/12</f>
        <v>3.5833333333333335</v>
      </c>
      <c r="B39" s="25" t="str">
        <f t="shared" si="0"/>
        <v>Cukup Puas</v>
      </c>
    </row>
    <row r="40" spans="1:2" x14ac:dyDescent="0.3">
      <c r="A40" s="24">
        <f>SUM('Data Tingkat Kepuasan'!C40:N40)/12</f>
        <v>3.8333333333333335</v>
      </c>
      <c r="B40" s="25" t="str">
        <f t="shared" si="0"/>
        <v>Cukup Puas</v>
      </c>
    </row>
    <row r="41" spans="1:2" x14ac:dyDescent="0.3">
      <c r="A41" s="24">
        <f>SUM('Data Tingkat Kepuasan'!C41:N41)/12</f>
        <v>2.3333333333333335</v>
      </c>
      <c r="B41" s="25" t="str">
        <f t="shared" si="0"/>
        <v>Tidak Puas</v>
      </c>
    </row>
    <row r="42" spans="1:2" x14ac:dyDescent="0.3">
      <c r="A42" s="24">
        <f>SUM('Data Tingkat Kepuasan'!C42:N42)/12</f>
        <v>2.75</v>
      </c>
      <c r="B42" s="25" t="str">
        <f t="shared" si="0"/>
        <v>Puas</v>
      </c>
    </row>
    <row r="43" spans="1:2" x14ac:dyDescent="0.3">
      <c r="A43" s="24">
        <f>SUM('Data Tingkat Kepuasan'!C43:N43)/12</f>
        <v>3.0833333333333335</v>
      </c>
      <c r="B43" s="25" t="str">
        <f t="shared" si="0"/>
        <v>Puas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6FF62-719D-4CD7-B432-8CB0E5294290}">
  <dimension ref="A1:T143"/>
  <sheetViews>
    <sheetView topLeftCell="I1" workbookViewId="0">
      <selection activeCell="D4" sqref="D4"/>
    </sheetView>
  </sheetViews>
  <sheetFormatPr defaultRowHeight="14.4" x14ac:dyDescent="0.3"/>
  <cols>
    <col min="1" max="1" width="20.88671875" customWidth="1"/>
    <col min="2" max="2" width="20.21875" style="21" customWidth="1"/>
    <col min="3" max="3" width="13.33203125" customWidth="1"/>
    <col min="4" max="4" width="14.44140625" customWidth="1"/>
    <col min="5" max="5" width="14.88671875" customWidth="1"/>
    <col min="6" max="6" width="14.44140625" customWidth="1"/>
    <col min="7" max="7" width="15.5546875" customWidth="1"/>
    <col min="8" max="8" width="14.109375" customWidth="1"/>
    <col min="9" max="9" width="15.6640625" customWidth="1"/>
    <col min="10" max="10" width="13.44140625" customWidth="1"/>
    <col min="11" max="11" width="16" customWidth="1"/>
    <col min="12" max="12" width="15" customWidth="1"/>
    <col min="13" max="13" width="14.77734375" customWidth="1"/>
    <col min="14" max="14" width="13.21875" customWidth="1"/>
  </cols>
  <sheetData>
    <row r="1" spans="1:20" ht="159" thickBot="1" x14ac:dyDescent="0.3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5" t="s">
        <v>13</v>
      </c>
      <c r="O1" s="1"/>
      <c r="P1" s="1"/>
      <c r="Q1" s="1"/>
      <c r="R1" s="1"/>
      <c r="S1" s="1"/>
      <c r="T1" s="1"/>
    </row>
    <row r="2" spans="1:20" ht="27" thickBot="1" x14ac:dyDescent="0.35">
      <c r="A2" s="6" t="s">
        <v>14</v>
      </c>
      <c r="B2" s="17" t="s">
        <v>15</v>
      </c>
      <c r="C2" s="7">
        <v>4</v>
      </c>
      <c r="D2" s="7">
        <v>4</v>
      </c>
      <c r="E2" s="7">
        <v>3</v>
      </c>
      <c r="F2" s="7">
        <v>3</v>
      </c>
      <c r="G2" s="7">
        <v>4</v>
      </c>
      <c r="H2" s="7">
        <v>5</v>
      </c>
      <c r="I2" s="7">
        <v>5</v>
      </c>
      <c r="J2" s="7">
        <v>4</v>
      </c>
      <c r="K2" s="7">
        <v>4</v>
      </c>
      <c r="L2" s="7">
        <v>5</v>
      </c>
      <c r="M2" s="7">
        <v>5</v>
      </c>
      <c r="N2" s="8">
        <v>4</v>
      </c>
      <c r="O2" s="2"/>
      <c r="P2" s="2"/>
      <c r="Q2" s="2"/>
      <c r="R2" s="2"/>
      <c r="S2" s="2"/>
      <c r="T2" s="2"/>
    </row>
    <row r="3" spans="1:20" ht="27" thickBot="1" x14ac:dyDescent="0.35">
      <c r="A3" s="9" t="s">
        <v>16</v>
      </c>
      <c r="B3" s="18" t="s">
        <v>17</v>
      </c>
      <c r="C3" s="10">
        <v>3</v>
      </c>
      <c r="D3" s="10">
        <v>3</v>
      </c>
      <c r="E3" s="10">
        <v>2</v>
      </c>
      <c r="F3" s="10">
        <v>2</v>
      </c>
      <c r="G3" s="10">
        <v>4</v>
      </c>
      <c r="H3" s="10">
        <v>5</v>
      </c>
      <c r="I3" s="10">
        <v>5</v>
      </c>
      <c r="J3" s="10">
        <v>4</v>
      </c>
      <c r="K3" s="10">
        <v>3</v>
      </c>
      <c r="L3" s="10">
        <v>4</v>
      </c>
      <c r="M3" s="10">
        <v>4</v>
      </c>
      <c r="N3" s="11">
        <v>3</v>
      </c>
      <c r="O3" s="2"/>
      <c r="P3" s="2"/>
      <c r="Q3" s="2"/>
      <c r="R3" s="2"/>
      <c r="S3" s="2"/>
      <c r="T3" s="2"/>
    </row>
    <row r="4" spans="1:20" ht="27" thickBot="1" x14ac:dyDescent="0.35">
      <c r="A4" s="6" t="s">
        <v>18</v>
      </c>
      <c r="B4" s="17" t="s">
        <v>19</v>
      </c>
      <c r="C4" s="7">
        <v>5</v>
      </c>
      <c r="D4" s="7">
        <v>3</v>
      </c>
      <c r="E4" s="7">
        <v>4</v>
      </c>
      <c r="F4" s="7">
        <v>2</v>
      </c>
      <c r="G4" s="7">
        <v>3</v>
      </c>
      <c r="H4" s="7">
        <v>4</v>
      </c>
      <c r="I4" s="7">
        <v>3</v>
      </c>
      <c r="J4" s="7">
        <v>2</v>
      </c>
      <c r="K4" s="7">
        <v>3</v>
      </c>
      <c r="L4" s="7">
        <v>4</v>
      </c>
      <c r="M4" s="7">
        <v>4</v>
      </c>
      <c r="N4" s="8">
        <v>3</v>
      </c>
      <c r="O4" s="2"/>
      <c r="P4" s="2"/>
      <c r="Q4" s="2"/>
      <c r="R4" s="2"/>
      <c r="S4" s="2"/>
      <c r="T4" s="2"/>
    </row>
    <row r="5" spans="1:20" ht="27" thickBot="1" x14ac:dyDescent="0.35">
      <c r="A5" s="9" t="s">
        <v>20</v>
      </c>
      <c r="B5" s="18" t="s">
        <v>21</v>
      </c>
      <c r="C5" s="10">
        <v>4</v>
      </c>
      <c r="D5" s="10">
        <v>3</v>
      </c>
      <c r="E5" s="10">
        <v>4</v>
      </c>
      <c r="F5" s="10">
        <v>3</v>
      </c>
      <c r="G5" s="10">
        <v>1</v>
      </c>
      <c r="H5" s="10">
        <v>2</v>
      </c>
      <c r="I5" s="10">
        <v>3</v>
      </c>
      <c r="J5" s="10">
        <v>4</v>
      </c>
      <c r="K5" s="10">
        <v>5</v>
      </c>
      <c r="L5" s="10">
        <v>3</v>
      </c>
      <c r="M5" s="10">
        <v>4</v>
      </c>
      <c r="N5" s="11">
        <v>3</v>
      </c>
      <c r="O5" s="2"/>
      <c r="P5" s="2"/>
      <c r="Q5" s="2"/>
      <c r="R5" s="2"/>
      <c r="S5" s="2"/>
      <c r="T5" s="2"/>
    </row>
    <row r="6" spans="1:20" ht="27" thickBot="1" x14ac:dyDescent="0.35">
      <c r="A6" s="6" t="s">
        <v>22</v>
      </c>
      <c r="B6" s="17" t="s">
        <v>23</v>
      </c>
      <c r="C6" s="7">
        <v>5</v>
      </c>
      <c r="D6" s="7">
        <v>4</v>
      </c>
      <c r="E6" s="7">
        <v>5</v>
      </c>
      <c r="F6" s="7">
        <v>3</v>
      </c>
      <c r="G6" s="7">
        <v>4</v>
      </c>
      <c r="H6" s="7">
        <v>4</v>
      </c>
      <c r="I6" s="7">
        <v>4</v>
      </c>
      <c r="J6" s="7">
        <v>3</v>
      </c>
      <c r="K6" s="7">
        <v>3</v>
      </c>
      <c r="L6" s="7">
        <v>3</v>
      </c>
      <c r="M6" s="7">
        <v>3</v>
      </c>
      <c r="N6" s="8">
        <v>3</v>
      </c>
      <c r="O6" s="2"/>
      <c r="P6" s="2"/>
      <c r="Q6" s="2"/>
      <c r="R6" s="2"/>
      <c r="S6" s="2"/>
      <c r="T6" s="2"/>
    </row>
    <row r="7" spans="1:20" ht="27" thickBot="1" x14ac:dyDescent="0.35">
      <c r="A7" s="9" t="s">
        <v>24</v>
      </c>
      <c r="B7" s="18" t="s">
        <v>25</v>
      </c>
      <c r="C7" s="10">
        <v>3</v>
      </c>
      <c r="D7" s="10">
        <v>4</v>
      </c>
      <c r="E7" s="10">
        <v>3</v>
      </c>
      <c r="F7" s="10">
        <v>3</v>
      </c>
      <c r="G7" s="10">
        <v>4</v>
      </c>
      <c r="H7" s="10">
        <v>4</v>
      </c>
      <c r="I7" s="10">
        <v>5</v>
      </c>
      <c r="J7" s="10">
        <v>5</v>
      </c>
      <c r="K7" s="10">
        <v>4</v>
      </c>
      <c r="L7" s="10">
        <v>4</v>
      </c>
      <c r="M7" s="10">
        <v>3</v>
      </c>
      <c r="N7" s="11">
        <v>3</v>
      </c>
      <c r="O7" s="2"/>
      <c r="P7" s="2"/>
      <c r="Q7" s="2"/>
      <c r="R7" s="2"/>
      <c r="S7" s="2"/>
      <c r="T7" s="2"/>
    </row>
    <row r="8" spans="1:20" ht="27" thickBot="1" x14ac:dyDescent="0.35">
      <c r="A8" s="6" t="s">
        <v>26</v>
      </c>
      <c r="B8" s="17" t="s">
        <v>27</v>
      </c>
      <c r="C8" s="7">
        <v>4</v>
      </c>
      <c r="D8" s="7">
        <v>4</v>
      </c>
      <c r="E8" s="7">
        <v>3</v>
      </c>
      <c r="F8" s="7">
        <v>3</v>
      </c>
      <c r="G8" s="7">
        <v>4</v>
      </c>
      <c r="H8" s="7">
        <v>3</v>
      </c>
      <c r="I8" s="7">
        <v>3</v>
      </c>
      <c r="J8" s="7">
        <v>4</v>
      </c>
      <c r="K8" s="7">
        <v>5</v>
      </c>
      <c r="L8" s="7">
        <v>5</v>
      </c>
      <c r="M8" s="7">
        <v>4</v>
      </c>
      <c r="N8" s="8">
        <v>4</v>
      </c>
      <c r="O8" s="2"/>
      <c r="P8" s="2"/>
      <c r="Q8" s="2"/>
      <c r="R8" s="2"/>
      <c r="S8" s="2"/>
      <c r="T8" s="2"/>
    </row>
    <row r="9" spans="1:20" ht="27" thickBot="1" x14ac:dyDescent="0.35">
      <c r="A9" s="9" t="s">
        <v>28</v>
      </c>
      <c r="B9" s="18" t="s">
        <v>29</v>
      </c>
      <c r="C9" s="10">
        <v>5</v>
      </c>
      <c r="D9" s="10">
        <v>5</v>
      </c>
      <c r="E9" s="10">
        <v>4</v>
      </c>
      <c r="F9" s="10">
        <v>4</v>
      </c>
      <c r="G9" s="10">
        <v>3</v>
      </c>
      <c r="H9" s="10">
        <v>4</v>
      </c>
      <c r="I9" s="10">
        <v>4</v>
      </c>
      <c r="J9" s="10">
        <v>3</v>
      </c>
      <c r="K9" s="10">
        <v>3</v>
      </c>
      <c r="L9" s="10">
        <v>4</v>
      </c>
      <c r="M9" s="10">
        <v>4</v>
      </c>
      <c r="N9" s="11">
        <v>5</v>
      </c>
      <c r="O9" s="2"/>
      <c r="P9" s="2"/>
      <c r="Q9" s="2"/>
      <c r="R9" s="2"/>
      <c r="S9" s="2"/>
      <c r="T9" s="2"/>
    </row>
    <row r="10" spans="1:20" ht="27" thickBot="1" x14ac:dyDescent="0.35">
      <c r="A10" s="6" t="s">
        <v>30</v>
      </c>
      <c r="B10" s="17" t="s">
        <v>31</v>
      </c>
      <c r="C10" s="7">
        <v>5</v>
      </c>
      <c r="D10" s="7">
        <v>4</v>
      </c>
      <c r="E10" s="7">
        <v>5</v>
      </c>
      <c r="F10" s="7">
        <v>4</v>
      </c>
      <c r="G10" s="7">
        <v>4</v>
      </c>
      <c r="H10" s="7">
        <v>3</v>
      </c>
      <c r="I10" s="7">
        <v>3</v>
      </c>
      <c r="J10" s="7">
        <v>4</v>
      </c>
      <c r="K10" s="7">
        <v>3</v>
      </c>
      <c r="L10" s="7">
        <v>3</v>
      </c>
      <c r="M10" s="7">
        <v>4</v>
      </c>
      <c r="N10" s="8">
        <v>4</v>
      </c>
      <c r="O10" s="2"/>
      <c r="P10" s="2"/>
      <c r="Q10" s="2"/>
      <c r="R10" s="2"/>
      <c r="S10" s="2"/>
      <c r="T10" s="2"/>
    </row>
    <row r="11" spans="1:20" ht="27" thickBot="1" x14ac:dyDescent="0.35">
      <c r="A11" s="9" t="s">
        <v>32</v>
      </c>
      <c r="B11" s="18" t="s">
        <v>33</v>
      </c>
      <c r="C11" s="10">
        <v>5</v>
      </c>
      <c r="D11" s="10">
        <v>4</v>
      </c>
      <c r="E11" s="10">
        <v>4</v>
      </c>
      <c r="F11" s="10">
        <v>3</v>
      </c>
      <c r="G11" s="10">
        <v>3</v>
      </c>
      <c r="H11" s="10">
        <v>3</v>
      </c>
      <c r="I11" s="10">
        <v>4</v>
      </c>
      <c r="J11" s="10">
        <v>5</v>
      </c>
      <c r="K11" s="10">
        <v>4</v>
      </c>
      <c r="L11" s="10">
        <v>3</v>
      </c>
      <c r="M11" s="10">
        <v>4</v>
      </c>
      <c r="N11" s="11">
        <v>4</v>
      </c>
      <c r="O11" s="2"/>
      <c r="P11" s="2"/>
      <c r="Q11" s="2"/>
      <c r="R11" s="2"/>
      <c r="S11" s="2"/>
      <c r="T11" s="2"/>
    </row>
    <row r="12" spans="1:20" ht="27" thickBot="1" x14ac:dyDescent="0.35">
      <c r="A12" s="6" t="s">
        <v>34</v>
      </c>
      <c r="B12" s="17" t="s">
        <v>35</v>
      </c>
      <c r="C12" s="7">
        <v>5</v>
      </c>
      <c r="D12" s="7">
        <v>4</v>
      </c>
      <c r="E12" s="7">
        <v>3</v>
      </c>
      <c r="F12" s="7">
        <v>4</v>
      </c>
      <c r="G12" s="7">
        <v>3</v>
      </c>
      <c r="H12" s="7">
        <v>3</v>
      </c>
      <c r="I12" s="7">
        <v>4</v>
      </c>
      <c r="J12" s="7">
        <v>4</v>
      </c>
      <c r="K12" s="7">
        <v>3</v>
      </c>
      <c r="L12" s="7">
        <v>4</v>
      </c>
      <c r="M12" s="7">
        <v>5</v>
      </c>
      <c r="N12" s="8">
        <v>5</v>
      </c>
      <c r="O12" s="2"/>
      <c r="P12" s="2"/>
      <c r="Q12" s="2"/>
      <c r="R12" s="2"/>
      <c r="S12" s="2"/>
      <c r="T12" s="2"/>
    </row>
    <row r="13" spans="1:20" ht="27" thickBot="1" x14ac:dyDescent="0.35">
      <c r="A13" s="9" t="s">
        <v>36</v>
      </c>
      <c r="B13" s="18" t="s">
        <v>37</v>
      </c>
      <c r="C13" s="10">
        <v>5</v>
      </c>
      <c r="D13" s="10">
        <v>4</v>
      </c>
      <c r="E13" s="10">
        <v>4</v>
      </c>
      <c r="F13" s="10">
        <v>5</v>
      </c>
      <c r="G13" s="10">
        <v>5</v>
      </c>
      <c r="H13" s="10">
        <v>4</v>
      </c>
      <c r="I13" s="10">
        <v>3</v>
      </c>
      <c r="J13" s="10">
        <v>3</v>
      </c>
      <c r="K13" s="10">
        <v>4</v>
      </c>
      <c r="L13" s="10">
        <v>3</v>
      </c>
      <c r="M13" s="10">
        <v>3</v>
      </c>
      <c r="N13" s="11">
        <v>5</v>
      </c>
      <c r="O13" s="2"/>
      <c r="P13" s="2"/>
      <c r="Q13" s="2"/>
      <c r="R13" s="2"/>
      <c r="S13" s="2"/>
      <c r="T13" s="2"/>
    </row>
    <row r="14" spans="1:20" ht="27" thickBot="1" x14ac:dyDescent="0.35">
      <c r="A14" s="6" t="s">
        <v>38</v>
      </c>
      <c r="B14" s="17" t="s">
        <v>39</v>
      </c>
      <c r="C14" s="7">
        <v>5</v>
      </c>
      <c r="D14" s="7">
        <v>5</v>
      </c>
      <c r="E14" s="7">
        <v>4</v>
      </c>
      <c r="F14" s="7">
        <v>3</v>
      </c>
      <c r="G14" s="7">
        <v>4</v>
      </c>
      <c r="H14" s="7">
        <v>4</v>
      </c>
      <c r="I14" s="7">
        <v>3</v>
      </c>
      <c r="J14" s="7">
        <v>3</v>
      </c>
      <c r="K14" s="7">
        <v>4</v>
      </c>
      <c r="L14" s="7">
        <v>4</v>
      </c>
      <c r="M14" s="7">
        <v>5</v>
      </c>
      <c r="N14" s="8">
        <v>5</v>
      </c>
      <c r="O14" s="2"/>
      <c r="P14" s="2"/>
      <c r="Q14" s="2"/>
      <c r="R14" s="2"/>
      <c r="S14" s="2"/>
      <c r="T14" s="2"/>
    </row>
    <row r="15" spans="1:20" ht="27" thickBot="1" x14ac:dyDescent="0.35">
      <c r="A15" s="9" t="s">
        <v>40</v>
      </c>
      <c r="B15" s="18" t="s">
        <v>41</v>
      </c>
      <c r="C15" s="10">
        <v>5</v>
      </c>
      <c r="D15" s="10">
        <v>4</v>
      </c>
      <c r="E15" s="10">
        <v>3</v>
      </c>
      <c r="F15" s="10">
        <v>4</v>
      </c>
      <c r="G15" s="10">
        <v>4</v>
      </c>
      <c r="H15" s="10">
        <v>5</v>
      </c>
      <c r="I15" s="10">
        <v>5</v>
      </c>
      <c r="J15" s="10">
        <v>3</v>
      </c>
      <c r="K15" s="10">
        <v>3</v>
      </c>
      <c r="L15" s="10">
        <v>4</v>
      </c>
      <c r="M15" s="10">
        <v>4</v>
      </c>
      <c r="N15" s="11">
        <v>4</v>
      </c>
      <c r="O15" s="2"/>
      <c r="P15" s="2"/>
      <c r="Q15" s="2"/>
      <c r="R15" s="2"/>
      <c r="S15" s="2"/>
      <c r="T15" s="2"/>
    </row>
    <row r="16" spans="1:20" ht="27" thickBot="1" x14ac:dyDescent="0.35">
      <c r="A16" s="6" t="s">
        <v>42</v>
      </c>
      <c r="B16" s="17" t="s">
        <v>43</v>
      </c>
      <c r="C16" s="7">
        <v>5</v>
      </c>
      <c r="D16" s="7">
        <v>4</v>
      </c>
      <c r="E16" s="7">
        <v>3</v>
      </c>
      <c r="F16" s="7">
        <v>5</v>
      </c>
      <c r="G16" s="7">
        <v>5</v>
      </c>
      <c r="H16" s="7">
        <v>5</v>
      </c>
      <c r="I16" s="7">
        <v>3</v>
      </c>
      <c r="J16" s="7">
        <v>3</v>
      </c>
      <c r="K16" s="7">
        <v>4</v>
      </c>
      <c r="L16" s="7">
        <v>4</v>
      </c>
      <c r="M16" s="7">
        <v>3</v>
      </c>
      <c r="N16" s="8">
        <v>3</v>
      </c>
      <c r="O16" s="2"/>
      <c r="P16" s="2"/>
      <c r="Q16" s="2"/>
      <c r="R16" s="2"/>
      <c r="S16" s="2"/>
      <c r="T16" s="2"/>
    </row>
    <row r="17" spans="1:20" ht="27" thickBot="1" x14ac:dyDescent="0.35">
      <c r="A17" s="9" t="s">
        <v>44</v>
      </c>
      <c r="B17" s="18" t="s">
        <v>45</v>
      </c>
      <c r="C17" s="10">
        <v>5</v>
      </c>
      <c r="D17" s="10">
        <v>4</v>
      </c>
      <c r="E17" s="10">
        <v>3</v>
      </c>
      <c r="F17" s="10">
        <v>4</v>
      </c>
      <c r="G17" s="10">
        <v>4</v>
      </c>
      <c r="H17" s="10">
        <v>3</v>
      </c>
      <c r="I17" s="10">
        <v>3</v>
      </c>
      <c r="J17" s="10">
        <v>4</v>
      </c>
      <c r="K17" s="10">
        <v>3</v>
      </c>
      <c r="L17" s="10">
        <v>4</v>
      </c>
      <c r="M17" s="10">
        <v>4</v>
      </c>
      <c r="N17" s="11">
        <v>5</v>
      </c>
      <c r="O17" s="2"/>
      <c r="P17" s="2"/>
      <c r="Q17" s="2"/>
      <c r="R17" s="2"/>
      <c r="S17" s="2"/>
      <c r="T17" s="2"/>
    </row>
    <row r="18" spans="1:20" ht="27" thickBot="1" x14ac:dyDescent="0.35">
      <c r="A18" s="12">
        <v>46179.628541666665</v>
      </c>
      <c r="B18" s="17" t="s">
        <v>46</v>
      </c>
      <c r="C18" s="7">
        <v>4</v>
      </c>
      <c r="D18" s="7">
        <v>4</v>
      </c>
      <c r="E18" s="7">
        <v>4</v>
      </c>
      <c r="F18" s="7">
        <v>3</v>
      </c>
      <c r="G18" s="7">
        <v>3</v>
      </c>
      <c r="H18" s="7">
        <v>5</v>
      </c>
      <c r="I18" s="7">
        <v>3</v>
      </c>
      <c r="J18" s="7">
        <v>4</v>
      </c>
      <c r="K18" s="7">
        <v>4</v>
      </c>
      <c r="L18" s="7">
        <v>4</v>
      </c>
      <c r="M18" s="7">
        <v>5</v>
      </c>
      <c r="N18" s="8">
        <v>5</v>
      </c>
      <c r="O18" s="2"/>
      <c r="P18" s="2"/>
      <c r="Q18" s="2"/>
      <c r="R18" s="2"/>
      <c r="S18" s="2"/>
      <c r="T18" s="2"/>
    </row>
    <row r="19" spans="1:20" ht="15" thickBot="1" x14ac:dyDescent="0.35">
      <c r="A19" s="13">
        <v>46179.629259259258</v>
      </c>
      <c r="B19" s="18" t="s">
        <v>47</v>
      </c>
      <c r="C19" s="10">
        <v>4</v>
      </c>
      <c r="D19" s="10">
        <v>4</v>
      </c>
      <c r="E19" s="10">
        <v>3</v>
      </c>
      <c r="F19" s="10">
        <v>3</v>
      </c>
      <c r="G19" s="10">
        <v>3</v>
      </c>
      <c r="H19" s="10">
        <v>5</v>
      </c>
      <c r="I19" s="10">
        <v>3</v>
      </c>
      <c r="J19" s="10">
        <v>3</v>
      </c>
      <c r="K19" s="10">
        <v>3</v>
      </c>
      <c r="L19" s="10">
        <v>3</v>
      </c>
      <c r="M19" s="10">
        <v>4</v>
      </c>
      <c r="N19" s="11">
        <v>3</v>
      </c>
      <c r="O19" s="2"/>
      <c r="P19" s="2"/>
      <c r="Q19" s="2"/>
      <c r="R19" s="2"/>
      <c r="S19" s="2"/>
      <c r="T19" s="2"/>
    </row>
    <row r="20" spans="1:20" ht="15" thickBot="1" x14ac:dyDescent="0.35">
      <c r="A20" s="12">
        <v>46179.629710648151</v>
      </c>
      <c r="B20" s="17" t="s">
        <v>48</v>
      </c>
      <c r="C20" s="7">
        <v>5</v>
      </c>
      <c r="D20" s="7">
        <v>3</v>
      </c>
      <c r="E20" s="7">
        <v>3</v>
      </c>
      <c r="F20" s="7">
        <v>3</v>
      </c>
      <c r="G20" s="7">
        <v>3</v>
      </c>
      <c r="H20" s="7">
        <v>4</v>
      </c>
      <c r="I20" s="7">
        <v>3</v>
      </c>
      <c r="J20" s="7">
        <v>3</v>
      </c>
      <c r="K20" s="7">
        <v>4</v>
      </c>
      <c r="L20" s="7">
        <v>3</v>
      </c>
      <c r="M20" s="7">
        <v>5</v>
      </c>
      <c r="N20" s="8">
        <v>4</v>
      </c>
      <c r="O20" s="2"/>
      <c r="P20" s="2"/>
      <c r="Q20" s="2"/>
      <c r="R20" s="2"/>
      <c r="S20" s="2"/>
      <c r="T20" s="2"/>
    </row>
    <row r="21" spans="1:20" ht="15" thickBot="1" x14ac:dyDescent="0.35">
      <c r="A21" s="13">
        <v>46179.630069444444</v>
      </c>
      <c r="B21" s="18" t="s">
        <v>49</v>
      </c>
      <c r="C21" s="10">
        <v>3</v>
      </c>
      <c r="D21" s="10">
        <v>4</v>
      </c>
      <c r="E21" s="10">
        <v>4</v>
      </c>
      <c r="F21" s="10">
        <v>3</v>
      </c>
      <c r="G21" s="10">
        <v>3</v>
      </c>
      <c r="H21" s="10">
        <v>3</v>
      </c>
      <c r="I21" s="10">
        <v>3</v>
      </c>
      <c r="J21" s="10">
        <v>3</v>
      </c>
      <c r="K21" s="10">
        <v>4</v>
      </c>
      <c r="L21" s="10">
        <v>3</v>
      </c>
      <c r="M21" s="10">
        <v>4</v>
      </c>
      <c r="N21" s="11">
        <v>4</v>
      </c>
      <c r="O21" s="2"/>
      <c r="P21" s="2"/>
      <c r="Q21" s="2"/>
      <c r="R21" s="2"/>
      <c r="S21" s="2"/>
      <c r="T21" s="2"/>
    </row>
    <row r="22" spans="1:20" ht="15" thickBot="1" x14ac:dyDescent="0.35">
      <c r="A22" s="12">
        <v>46179.630520833336</v>
      </c>
      <c r="B22" s="17" t="s">
        <v>50</v>
      </c>
      <c r="C22" s="7">
        <v>3</v>
      </c>
      <c r="D22" s="7">
        <v>3</v>
      </c>
      <c r="E22" s="7">
        <v>3</v>
      </c>
      <c r="F22" s="7">
        <v>3</v>
      </c>
      <c r="G22" s="7">
        <v>3</v>
      </c>
      <c r="H22" s="7">
        <v>3</v>
      </c>
      <c r="I22" s="7">
        <v>3</v>
      </c>
      <c r="J22" s="7">
        <v>3</v>
      </c>
      <c r="K22" s="7">
        <v>3</v>
      </c>
      <c r="L22" s="7">
        <v>3</v>
      </c>
      <c r="M22" s="7">
        <v>4</v>
      </c>
      <c r="N22" s="8">
        <v>4</v>
      </c>
      <c r="O22" s="2"/>
      <c r="P22" s="2"/>
      <c r="Q22" s="2"/>
      <c r="R22" s="2"/>
      <c r="S22" s="2"/>
      <c r="T22" s="2"/>
    </row>
    <row r="23" spans="1:20" ht="15" thickBot="1" x14ac:dyDescent="0.35">
      <c r="A23" s="13">
        <v>46179.630810185183</v>
      </c>
      <c r="B23" s="18" t="s">
        <v>51</v>
      </c>
      <c r="C23" s="10">
        <v>4</v>
      </c>
      <c r="D23" s="10">
        <v>4</v>
      </c>
      <c r="E23" s="10">
        <v>3</v>
      </c>
      <c r="F23" s="10">
        <v>3</v>
      </c>
      <c r="G23" s="10">
        <v>3</v>
      </c>
      <c r="H23" s="10">
        <v>3</v>
      </c>
      <c r="I23" s="10">
        <v>4</v>
      </c>
      <c r="J23" s="10">
        <v>4</v>
      </c>
      <c r="K23" s="10">
        <v>4</v>
      </c>
      <c r="L23" s="10">
        <v>3</v>
      </c>
      <c r="M23" s="10">
        <v>5</v>
      </c>
      <c r="N23" s="11">
        <v>5</v>
      </c>
      <c r="O23" s="2"/>
      <c r="P23" s="2"/>
      <c r="Q23" s="2"/>
      <c r="R23" s="2"/>
      <c r="S23" s="2"/>
      <c r="T23" s="2"/>
    </row>
    <row r="24" spans="1:20" ht="15" thickBot="1" x14ac:dyDescent="0.35">
      <c r="A24" s="12">
        <v>46179.631180555552</v>
      </c>
      <c r="B24" s="17" t="s">
        <v>52</v>
      </c>
      <c r="C24" s="7">
        <v>5</v>
      </c>
      <c r="D24" s="7">
        <v>4</v>
      </c>
      <c r="E24" s="7">
        <v>3</v>
      </c>
      <c r="F24" s="7">
        <v>3</v>
      </c>
      <c r="G24" s="7">
        <v>3</v>
      </c>
      <c r="H24" s="7">
        <v>4</v>
      </c>
      <c r="I24" s="7">
        <v>3</v>
      </c>
      <c r="J24" s="7">
        <v>3</v>
      </c>
      <c r="K24" s="7">
        <v>4</v>
      </c>
      <c r="L24" s="7">
        <v>4</v>
      </c>
      <c r="M24" s="7">
        <v>4</v>
      </c>
      <c r="N24" s="8">
        <v>4</v>
      </c>
      <c r="O24" s="2"/>
      <c r="P24" s="2"/>
      <c r="Q24" s="2"/>
      <c r="R24" s="2"/>
      <c r="S24" s="2"/>
      <c r="T24" s="2"/>
    </row>
    <row r="25" spans="1:20" ht="15" thickBot="1" x14ac:dyDescent="0.35">
      <c r="A25" s="13">
        <v>46179.668229166666</v>
      </c>
      <c r="B25" s="18" t="s">
        <v>53</v>
      </c>
      <c r="C25" s="10">
        <v>3</v>
      </c>
      <c r="D25" s="10">
        <v>1</v>
      </c>
      <c r="E25" s="10">
        <v>2</v>
      </c>
      <c r="F25" s="10">
        <v>2</v>
      </c>
      <c r="G25" s="10">
        <v>4</v>
      </c>
      <c r="H25" s="10">
        <v>4</v>
      </c>
      <c r="I25" s="10">
        <v>3</v>
      </c>
      <c r="J25" s="10">
        <v>3</v>
      </c>
      <c r="K25" s="10">
        <v>3</v>
      </c>
      <c r="L25" s="10">
        <v>3</v>
      </c>
      <c r="M25" s="10">
        <v>3</v>
      </c>
      <c r="N25" s="11">
        <v>3</v>
      </c>
      <c r="O25" s="2"/>
      <c r="P25" s="2"/>
      <c r="Q25" s="2"/>
      <c r="R25" s="2"/>
      <c r="S25" s="2"/>
      <c r="T25" s="2"/>
    </row>
    <row r="26" spans="1:20" ht="15" thickBot="1" x14ac:dyDescent="0.35">
      <c r="A26" s="12">
        <v>46179.66914351852</v>
      </c>
      <c r="B26" s="17" t="s">
        <v>54</v>
      </c>
      <c r="C26" s="7">
        <v>2</v>
      </c>
      <c r="D26" s="7">
        <v>1</v>
      </c>
      <c r="E26" s="7">
        <v>3</v>
      </c>
      <c r="F26" s="7">
        <v>2</v>
      </c>
      <c r="G26" s="7">
        <v>2</v>
      </c>
      <c r="H26" s="7">
        <v>3</v>
      </c>
      <c r="I26" s="7">
        <v>4</v>
      </c>
      <c r="J26" s="7">
        <v>3</v>
      </c>
      <c r="K26" s="7">
        <v>3</v>
      </c>
      <c r="L26" s="7">
        <v>2</v>
      </c>
      <c r="M26" s="7">
        <v>2</v>
      </c>
      <c r="N26" s="8">
        <v>3</v>
      </c>
      <c r="O26" s="2"/>
      <c r="P26" s="2"/>
      <c r="Q26" s="2"/>
      <c r="R26" s="2"/>
      <c r="S26" s="2"/>
      <c r="T26" s="2"/>
    </row>
    <row r="27" spans="1:20" ht="15" thickBot="1" x14ac:dyDescent="0.35">
      <c r="A27" s="13">
        <v>46179.669537037036</v>
      </c>
      <c r="B27" s="18" t="s">
        <v>55</v>
      </c>
      <c r="C27" s="10">
        <v>5</v>
      </c>
      <c r="D27" s="10">
        <v>4</v>
      </c>
      <c r="E27" s="10">
        <v>3</v>
      </c>
      <c r="F27" s="10">
        <v>4</v>
      </c>
      <c r="G27" s="10">
        <v>4</v>
      </c>
      <c r="H27" s="10">
        <v>5</v>
      </c>
      <c r="I27" s="10">
        <v>3</v>
      </c>
      <c r="J27" s="10">
        <v>5</v>
      </c>
      <c r="K27" s="10">
        <v>3</v>
      </c>
      <c r="L27" s="10">
        <v>3</v>
      </c>
      <c r="M27" s="10">
        <v>5</v>
      </c>
      <c r="N27" s="11">
        <v>5</v>
      </c>
      <c r="O27" s="2"/>
      <c r="P27" s="2"/>
      <c r="Q27" s="2"/>
      <c r="R27" s="2"/>
      <c r="S27" s="2"/>
      <c r="T27" s="2"/>
    </row>
    <row r="28" spans="1:20" ht="15" thickBot="1" x14ac:dyDescent="0.35">
      <c r="A28" s="12">
        <v>46179.669895833336</v>
      </c>
      <c r="B28" s="17" t="s">
        <v>56</v>
      </c>
      <c r="C28" s="7">
        <v>3</v>
      </c>
      <c r="D28" s="7">
        <v>4</v>
      </c>
      <c r="E28" s="7">
        <v>5</v>
      </c>
      <c r="F28" s="7">
        <v>3</v>
      </c>
      <c r="G28" s="7">
        <v>5</v>
      </c>
      <c r="H28" s="7">
        <v>5</v>
      </c>
      <c r="I28" s="7">
        <v>4</v>
      </c>
      <c r="J28" s="7">
        <v>5</v>
      </c>
      <c r="K28" s="7">
        <v>4</v>
      </c>
      <c r="L28" s="7">
        <v>3</v>
      </c>
      <c r="M28" s="7">
        <v>5</v>
      </c>
      <c r="N28" s="8">
        <v>5</v>
      </c>
      <c r="O28" s="2"/>
      <c r="P28" s="2"/>
      <c r="Q28" s="2"/>
      <c r="R28" s="2"/>
      <c r="S28" s="2"/>
      <c r="T28" s="2"/>
    </row>
    <row r="29" spans="1:20" ht="15" thickBot="1" x14ac:dyDescent="0.35">
      <c r="A29" s="13">
        <v>46179.670219907406</v>
      </c>
      <c r="B29" s="18" t="s">
        <v>57</v>
      </c>
      <c r="C29" s="10">
        <v>5</v>
      </c>
      <c r="D29" s="10">
        <v>4</v>
      </c>
      <c r="E29" s="10">
        <v>5</v>
      </c>
      <c r="F29" s="10">
        <v>4</v>
      </c>
      <c r="G29" s="10">
        <v>3</v>
      </c>
      <c r="H29" s="10">
        <v>3</v>
      </c>
      <c r="I29" s="10">
        <v>4</v>
      </c>
      <c r="J29" s="10">
        <v>5</v>
      </c>
      <c r="K29" s="10">
        <v>4</v>
      </c>
      <c r="L29" s="10">
        <v>3</v>
      </c>
      <c r="M29" s="10">
        <v>5</v>
      </c>
      <c r="N29" s="11">
        <v>5</v>
      </c>
      <c r="O29" s="2"/>
      <c r="P29" s="2"/>
      <c r="Q29" s="2"/>
      <c r="R29" s="2"/>
      <c r="S29" s="2"/>
      <c r="T29" s="2"/>
    </row>
    <row r="30" spans="1:20" ht="15" thickBot="1" x14ac:dyDescent="0.35">
      <c r="A30" s="12">
        <v>46179.670659722222</v>
      </c>
      <c r="B30" s="17" t="s">
        <v>58</v>
      </c>
      <c r="C30" s="7">
        <v>2</v>
      </c>
      <c r="D30" s="7">
        <v>1</v>
      </c>
      <c r="E30" s="7">
        <v>2</v>
      </c>
      <c r="F30" s="7">
        <v>3</v>
      </c>
      <c r="G30" s="7">
        <v>2</v>
      </c>
      <c r="H30" s="7">
        <v>3</v>
      </c>
      <c r="I30" s="7">
        <v>2</v>
      </c>
      <c r="J30" s="7">
        <v>1</v>
      </c>
      <c r="K30" s="7">
        <v>3</v>
      </c>
      <c r="L30" s="7">
        <v>1</v>
      </c>
      <c r="M30" s="7">
        <v>2</v>
      </c>
      <c r="N30" s="8">
        <v>2</v>
      </c>
      <c r="O30" s="2"/>
      <c r="P30" s="2"/>
      <c r="Q30" s="2"/>
      <c r="R30" s="2"/>
      <c r="S30" s="2"/>
      <c r="T30" s="2"/>
    </row>
    <row r="31" spans="1:20" ht="15" thickBot="1" x14ac:dyDescent="0.35">
      <c r="A31" s="13">
        <v>46179.670983796299</v>
      </c>
      <c r="B31" s="18" t="s">
        <v>59</v>
      </c>
      <c r="C31" s="10">
        <v>3</v>
      </c>
      <c r="D31" s="10">
        <v>4</v>
      </c>
      <c r="E31" s="10">
        <v>3</v>
      </c>
      <c r="F31" s="10">
        <v>4</v>
      </c>
      <c r="G31" s="10">
        <v>5</v>
      </c>
      <c r="H31" s="10">
        <v>5</v>
      </c>
      <c r="I31" s="10">
        <v>3</v>
      </c>
      <c r="J31" s="10">
        <v>3</v>
      </c>
      <c r="K31" s="10">
        <v>4</v>
      </c>
      <c r="L31" s="10">
        <v>5</v>
      </c>
      <c r="M31" s="10">
        <v>5</v>
      </c>
      <c r="N31" s="11">
        <v>5</v>
      </c>
      <c r="O31" s="2"/>
      <c r="P31" s="2"/>
      <c r="Q31" s="2"/>
      <c r="R31" s="2"/>
      <c r="S31" s="2"/>
      <c r="T31" s="2"/>
    </row>
    <row r="32" spans="1:20" ht="15" thickBot="1" x14ac:dyDescent="0.35">
      <c r="A32" s="12">
        <v>46179.671331018515</v>
      </c>
      <c r="B32" s="17" t="s">
        <v>60</v>
      </c>
      <c r="C32" s="7">
        <v>4</v>
      </c>
      <c r="D32" s="7">
        <v>5</v>
      </c>
      <c r="E32" s="7">
        <v>3</v>
      </c>
      <c r="F32" s="7">
        <v>3</v>
      </c>
      <c r="G32" s="7">
        <v>5</v>
      </c>
      <c r="H32" s="7">
        <v>4</v>
      </c>
      <c r="I32" s="7">
        <v>4</v>
      </c>
      <c r="J32" s="7">
        <v>5</v>
      </c>
      <c r="K32" s="7">
        <v>4</v>
      </c>
      <c r="L32" s="7">
        <v>5</v>
      </c>
      <c r="M32" s="7">
        <v>5</v>
      </c>
      <c r="N32" s="8">
        <v>5</v>
      </c>
      <c r="O32" s="2"/>
      <c r="P32" s="2"/>
      <c r="Q32" s="2"/>
      <c r="R32" s="2"/>
      <c r="S32" s="2"/>
      <c r="T32" s="2"/>
    </row>
    <row r="33" spans="1:20" ht="15" thickBot="1" x14ac:dyDescent="0.35">
      <c r="A33" s="13">
        <v>46179.671631944446</v>
      </c>
      <c r="B33" s="18" t="s">
        <v>37</v>
      </c>
      <c r="C33" s="10">
        <v>3</v>
      </c>
      <c r="D33" s="10">
        <v>4</v>
      </c>
      <c r="E33" s="10">
        <v>5</v>
      </c>
      <c r="F33" s="10">
        <v>5</v>
      </c>
      <c r="G33" s="10">
        <v>3</v>
      </c>
      <c r="H33" s="10">
        <v>3</v>
      </c>
      <c r="I33" s="10">
        <v>4</v>
      </c>
      <c r="J33" s="10">
        <v>4</v>
      </c>
      <c r="K33" s="10">
        <v>5</v>
      </c>
      <c r="L33" s="10">
        <v>5</v>
      </c>
      <c r="M33" s="10">
        <v>5</v>
      </c>
      <c r="N33" s="11">
        <v>5</v>
      </c>
      <c r="O33" s="2"/>
      <c r="P33" s="2"/>
      <c r="Q33" s="2"/>
      <c r="R33" s="2"/>
      <c r="S33" s="2"/>
      <c r="T33" s="2"/>
    </row>
    <row r="34" spans="1:20" ht="15" thickBot="1" x14ac:dyDescent="0.35">
      <c r="A34" s="12">
        <v>46179.672071759262</v>
      </c>
      <c r="B34" s="17" t="s">
        <v>61</v>
      </c>
      <c r="C34" s="7">
        <v>2</v>
      </c>
      <c r="D34" s="7">
        <v>2</v>
      </c>
      <c r="E34" s="7">
        <v>1</v>
      </c>
      <c r="F34" s="7">
        <v>2</v>
      </c>
      <c r="G34" s="7">
        <v>2</v>
      </c>
      <c r="H34" s="7">
        <v>3</v>
      </c>
      <c r="I34" s="7">
        <v>4</v>
      </c>
      <c r="J34" s="7">
        <v>3</v>
      </c>
      <c r="K34" s="7">
        <v>3</v>
      </c>
      <c r="L34" s="7">
        <v>1</v>
      </c>
      <c r="M34" s="7">
        <v>3</v>
      </c>
      <c r="N34" s="8">
        <v>4</v>
      </c>
      <c r="O34" s="2"/>
      <c r="P34" s="2"/>
      <c r="Q34" s="2"/>
      <c r="R34" s="2"/>
      <c r="S34" s="2"/>
      <c r="T34" s="2"/>
    </row>
    <row r="35" spans="1:20" ht="15" thickBot="1" x14ac:dyDescent="0.35">
      <c r="A35" s="13">
        <v>46179.673206018517</v>
      </c>
      <c r="B35" s="18" t="s">
        <v>62</v>
      </c>
      <c r="C35" s="10">
        <v>2</v>
      </c>
      <c r="D35" s="10">
        <v>1</v>
      </c>
      <c r="E35" s="10">
        <v>3</v>
      </c>
      <c r="F35" s="10">
        <v>3</v>
      </c>
      <c r="G35" s="10">
        <v>3</v>
      </c>
      <c r="H35" s="10">
        <v>2</v>
      </c>
      <c r="I35" s="10">
        <v>4</v>
      </c>
      <c r="J35" s="10">
        <v>3</v>
      </c>
      <c r="K35" s="10">
        <v>4</v>
      </c>
      <c r="L35" s="10">
        <v>4</v>
      </c>
      <c r="M35" s="10">
        <v>4</v>
      </c>
      <c r="N35" s="11">
        <v>4</v>
      </c>
      <c r="O35" s="2"/>
      <c r="P35" s="2"/>
      <c r="Q35" s="2"/>
      <c r="R35" s="2"/>
      <c r="S35" s="2"/>
      <c r="T35" s="2"/>
    </row>
    <row r="36" spans="1:20" ht="15" thickBot="1" x14ac:dyDescent="0.35">
      <c r="A36" s="12">
        <v>46179.673773148148</v>
      </c>
      <c r="B36" s="17" t="s">
        <v>63</v>
      </c>
      <c r="C36" s="7">
        <v>2</v>
      </c>
      <c r="D36" s="7">
        <v>1</v>
      </c>
      <c r="E36" s="7">
        <v>2</v>
      </c>
      <c r="F36" s="7">
        <v>3</v>
      </c>
      <c r="G36" s="7">
        <v>2</v>
      </c>
      <c r="H36" s="7">
        <v>2</v>
      </c>
      <c r="I36" s="7">
        <v>1</v>
      </c>
      <c r="J36" s="7">
        <v>2</v>
      </c>
      <c r="K36" s="7">
        <v>3</v>
      </c>
      <c r="L36" s="7">
        <v>2</v>
      </c>
      <c r="M36" s="7">
        <v>3</v>
      </c>
      <c r="N36" s="8">
        <v>3</v>
      </c>
      <c r="O36" s="2"/>
      <c r="P36" s="2"/>
      <c r="Q36" s="2"/>
      <c r="R36" s="2"/>
      <c r="S36" s="2"/>
      <c r="T36" s="2"/>
    </row>
    <row r="37" spans="1:20" ht="15" thickBot="1" x14ac:dyDescent="0.35">
      <c r="A37" s="13">
        <v>46179.674131944441</v>
      </c>
      <c r="B37" s="18" t="s">
        <v>64</v>
      </c>
      <c r="C37" s="10">
        <v>2</v>
      </c>
      <c r="D37" s="10">
        <v>1</v>
      </c>
      <c r="E37" s="10">
        <v>2</v>
      </c>
      <c r="F37" s="10">
        <v>3</v>
      </c>
      <c r="G37" s="10">
        <v>2</v>
      </c>
      <c r="H37" s="10">
        <v>3</v>
      </c>
      <c r="I37" s="10">
        <v>3</v>
      </c>
      <c r="J37" s="10">
        <v>4</v>
      </c>
      <c r="K37" s="10">
        <v>4</v>
      </c>
      <c r="L37" s="10">
        <v>4</v>
      </c>
      <c r="M37" s="10">
        <v>4</v>
      </c>
      <c r="N37" s="11">
        <v>5</v>
      </c>
      <c r="O37" s="2"/>
      <c r="P37" s="2"/>
      <c r="Q37" s="2"/>
      <c r="R37" s="2"/>
      <c r="S37" s="2"/>
      <c r="T37" s="2"/>
    </row>
    <row r="38" spans="1:20" ht="15" thickBot="1" x14ac:dyDescent="0.35">
      <c r="A38" s="12">
        <v>46179.674560185187</v>
      </c>
      <c r="B38" s="17" t="s">
        <v>65</v>
      </c>
      <c r="C38" s="7">
        <v>2</v>
      </c>
      <c r="D38" s="7">
        <v>1</v>
      </c>
      <c r="E38" s="7">
        <v>1</v>
      </c>
      <c r="F38" s="7">
        <v>2</v>
      </c>
      <c r="G38" s="7">
        <v>3</v>
      </c>
      <c r="H38" s="7">
        <v>3</v>
      </c>
      <c r="I38" s="7">
        <v>3</v>
      </c>
      <c r="J38" s="7">
        <v>2</v>
      </c>
      <c r="K38" s="7">
        <v>2</v>
      </c>
      <c r="L38" s="7">
        <v>3</v>
      </c>
      <c r="M38" s="7">
        <v>4</v>
      </c>
      <c r="N38" s="8">
        <v>3</v>
      </c>
      <c r="O38" s="2"/>
      <c r="P38" s="2"/>
      <c r="Q38" s="2"/>
      <c r="R38" s="2"/>
      <c r="S38" s="2"/>
      <c r="T38" s="2"/>
    </row>
    <row r="39" spans="1:20" ht="15" thickBot="1" x14ac:dyDescent="0.35">
      <c r="A39" s="13">
        <v>46179.674884259257</v>
      </c>
      <c r="B39" s="18" t="s">
        <v>66</v>
      </c>
      <c r="C39" s="10">
        <v>3</v>
      </c>
      <c r="D39" s="10">
        <v>4</v>
      </c>
      <c r="E39" s="10">
        <v>3</v>
      </c>
      <c r="F39" s="10">
        <v>4</v>
      </c>
      <c r="G39" s="10">
        <v>5</v>
      </c>
      <c r="H39" s="10">
        <v>3</v>
      </c>
      <c r="I39" s="10">
        <v>4</v>
      </c>
      <c r="J39" s="10">
        <v>3</v>
      </c>
      <c r="K39" s="10">
        <v>3</v>
      </c>
      <c r="L39" s="10">
        <v>4</v>
      </c>
      <c r="M39" s="10">
        <v>3</v>
      </c>
      <c r="N39" s="11">
        <v>4</v>
      </c>
      <c r="O39" s="2"/>
      <c r="P39" s="2"/>
      <c r="Q39" s="2"/>
      <c r="R39" s="2"/>
      <c r="S39" s="2"/>
      <c r="T39" s="2"/>
    </row>
    <row r="40" spans="1:20" ht="15" thickBot="1" x14ac:dyDescent="0.35">
      <c r="A40" s="12">
        <v>46179.675717592596</v>
      </c>
      <c r="B40" s="17" t="s">
        <v>67</v>
      </c>
      <c r="C40" s="7">
        <v>3</v>
      </c>
      <c r="D40" s="7">
        <v>3</v>
      </c>
      <c r="E40" s="7">
        <v>4</v>
      </c>
      <c r="F40" s="7">
        <v>5</v>
      </c>
      <c r="G40" s="7">
        <v>3</v>
      </c>
      <c r="H40" s="7">
        <v>3</v>
      </c>
      <c r="I40" s="7">
        <v>4</v>
      </c>
      <c r="J40" s="7">
        <v>5</v>
      </c>
      <c r="K40" s="7">
        <v>5</v>
      </c>
      <c r="L40" s="7">
        <v>2</v>
      </c>
      <c r="M40" s="7">
        <v>4</v>
      </c>
      <c r="N40" s="8">
        <v>5</v>
      </c>
      <c r="O40" s="2"/>
      <c r="P40" s="2"/>
      <c r="Q40" s="2"/>
      <c r="R40" s="2"/>
      <c r="S40" s="2"/>
      <c r="T40" s="2"/>
    </row>
    <row r="41" spans="1:20" ht="15" thickBot="1" x14ac:dyDescent="0.35">
      <c r="A41" s="13">
        <v>46179.676099537035</v>
      </c>
      <c r="B41" s="18" t="s">
        <v>68</v>
      </c>
      <c r="C41" s="10">
        <v>2</v>
      </c>
      <c r="D41" s="10">
        <v>2</v>
      </c>
      <c r="E41" s="10">
        <v>1</v>
      </c>
      <c r="F41" s="10">
        <v>3</v>
      </c>
      <c r="G41" s="10">
        <v>3</v>
      </c>
      <c r="H41" s="10">
        <v>3</v>
      </c>
      <c r="I41" s="10">
        <v>1</v>
      </c>
      <c r="J41" s="10">
        <v>3</v>
      </c>
      <c r="K41" s="10">
        <v>3</v>
      </c>
      <c r="L41" s="10">
        <v>2</v>
      </c>
      <c r="M41" s="10">
        <v>2</v>
      </c>
      <c r="N41" s="11">
        <v>3</v>
      </c>
      <c r="O41" s="2"/>
      <c r="P41" s="2"/>
      <c r="Q41" s="2"/>
      <c r="R41" s="2"/>
      <c r="S41" s="2"/>
      <c r="T41" s="2"/>
    </row>
    <row r="42" spans="1:20" ht="15" thickBot="1" x14ac:dyDescent="0.35">
      <c r="A42" s="12">
        <v>46179.676620370374</v>
      </c>
      <c r="B42" s="17" t="s">
        <v>69</v>
      </c>
      <c r="C42" s="7">
        <v>2</v>
      </c>
      <c r="D42" s="7">
        <v>3</v>
      </c>
      <c r="E42" s="7">
        <v>2</v>
      </c>
      <c r="F42" s="7">
        <v>3</v>
      </c>
      <c r="G42" s="7">
        <v>3</v>
      </c>
      <c r="H42" s="7">
        <v>3</v>
      </c>
      <c r="I42" s="7">
        <v>2</v>
      </c>
      <c r="J42" s="7">
        <v>3</v>
      </c>
      <c r="K42" s="7">
        <v>3</v>
      </c>
      <c r="L42" s="7">
        <v>3</v>
      </c>
      <c r="M42" s="7">
        <v>3</v>
      </c>
      <c r="N42" s="8">
        <v>3</v>
      </c>
      <c r="O42" s="2"/>
      <c r="P42" s="2"/>
      <c r="Q42" s="2"/>
      <c r="R42" s="2"/>
      <c r="S42" s="2"/>
      <c r="T42" s="2"/>
    </row>
    <row r="43" spans="1:20" ht="15" thickBot="1" x14ac:dyDescent="0.35">
      <c r="A43" s="14">
        <v>46179.677152777775</v>
      </c>
      <c r="B43" s="19" t="s">
        <v>70</v>
      </c>
      <c r="C43" s="15">
        <v>4</v>
      </c>
      <c r="D43" s="15">
        <v>2</v>
      </c>
      <c r="E43" s="15">
        <v>2</v>
      </c>
      <c r="F43" s="15">
        <v>3</v>
      </c>
      <c r="G43" s="15">
        <v>4</v>
      </c>
      <c r="H43" s="15">
        <v>5</v>
      </c>
      <c r="I43" s="15">
        <v>2</v>
      </c>
      <c r="J43" s="15">
        <v>3</v>
      </c>
      <c r="K43" s="15">
        <v>3</v>
      </c>
      <c r="L43" s="15">
        <v>2</v>
      </c>
      <c r="M43" s="15">
        <v>3</v>
      </c>
      <c r="N43" s="16">
        <v>4</v>
      </c>
      <c r="O43" s="2"/>
      <c r="P43" s="2"/>
      <c r="Q43" s="2"/>
      <c r="R43" s="2"/>
      <c r="S43" s="2"/>
      <c r="T43" s="2"/>
    </row>
    <row r="44" spans="1:20" ht="15" thickBot="1" x14ac:dyDescent="0.35">
      <c r="A44" s="2"/>
      <c r="B44" s="20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</row>
    <row r="45" spans="1:20" ht="15" thickBot="1" x14ac:dyDescent="0.35">
      <c r="A45" s="2"/>
      <c r="B45" s="20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</row>
    <row r="46" spans="1:20" ht="15" thickBot="1" x14ac:dyDescent="0.35">
      <c r="A46" s="2"/>
      <c r="B46" s="20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</row>
    <row r="47" spans="1:20" ht="15" thickBot="1" x14ac:dyDescent="0.35">
      <c r="A47" s="2"/>
      <c r="B47" s="20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</row>
    <row r="48" spans="1:20" ht="15" thickBot="1" x14ac:dyDescent="0.35">
      <c r="A48" s="2"/>
      <c r="B48" s="20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</row>
    <row r="49" spans="1:20" ht="15" thickBot="1" x14ac:dyDescent="0.35">
      <c r="A49" s="2"/>
      <c r="B49" s="20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</row>
    <row r="50" spans="1:20" ht="15" thickBot="1" x14ac:dyDescent="0.35">
      <c r="A50" s="2"/>
      <c r="B50" s="20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</row>
    <row r="51" spans="1:20" ht="15" thickBot="1" x14ac:dyDescent="0.35">
      <c r="A51" s="2"/>
      <c r="B51" s="20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</row>
    <row r="52" spans="1:20" ht="15" thickBot="1" x14ac:dyDescent="0.35">
      <c r="A52" s="2"/>
      <c r="B52" s="20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</row>
    <row r="53" spans="1:20" ht="15" thickBot="1" x14ac:dyDescent="0.35">
      <c r="A53" s="2"/>
      <c r="B53" s="20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</row>
    <row r="54" spans="1:20" ht="15" thickBot="1" x14ac:dyDescent="0.35">
      <c r="A54" s="2"/>
      <c r="B54" s="20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</row>
    <row r="55" spans="1:20" ht="15" thickBot="1" x14ac:dyDescent="0.35">
      <c r="A55" s="2"/>
      <c r="B55" s="20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</row>
    <row r="56" spans="1:20" ht="15" thickBot="1" x14ac:dyDescent="0.35">
      <c r="A56" s="2"/>
      <c r="B56" s="20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</row>
    <row r="57" spans="1:20" ht="15" thickBot="1" x14ac:dyDescent="0.35">
      <c r="A57" s="2"/>
      <c r="B57" s="20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</row>
    <row r="58" spans="1:20" ht="15" thickBot="1" x14ac:dyDescent="0.35">
      <c r="A58" s="2"/>
      <c r="B58" s="20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</row>
    <row r="59" spans="1:20" ht="15" thickBot="1" x14ac:dyDescent="0.35">
      <c r="A59" s="2"/>
      <c r="B59" s="20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</row>
    <row r="60" spans="1:20" ht="15" thickBot="1" x14ac:dyDescent="0.35">
      <c r="A60" s="2"/>
      <c r="B60" s="20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</row>
    <row r="61" spans="1:20" ht="15" thickBot="1" x14ac:dyDescent="0.35">
      <c r="A61" s="2"/>
      <c r="B61" s="20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</row>
    <row r="62" spans="1:20" ht="15" thickBot="1" x14ac:dyDescent="0.35">
      <c r="A62" s="2"/>
      <c r="B62" s="20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</row>
    <row r="63" spans="1:20" ht="15" thickBot="1" x14ac:dyDescent="0.35">
      <c r="A63" s="2"/>
      <c r="B63" s="20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</row>
    <row r="64" spans="1:20" ht="15" thickBot="1" x14ac:dyDescent="0.35">
      <c r="A64" s="2"/>
      <c r="B64" s="20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</row>
    <row r="65" spans="1:20" ht="15" thickBot="1" x14ac:dyDescent="0.35">
      <c r="A65" s="2"/>
      <c r="B65" s="20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</row>
    <row r="66" spans="1:20" ht="15" thickBot="1" x14ac:dyDescent="0.35">
      <c r="A66" s="2"/>
      <c r="B66" s="20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</row>
    <row r="67" spans="1:20" ht="15" thickBot="1" x14ac:dyDescent="0.35">
      <c r="A67" s="2"/>
      <c r="B67" s="20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</row>
    <row r="68" spans="1:20" ht="15" thickBot="1" x14ac:dyDescent="0.35">
      <c r="A68" s="2"/>
      <c r="B68" s="20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</row>
    <row r="69" spans="1:20" ht="15" thickBot="1" x14ac:dyDescent="0.35">
      <c r="A69" s="2"/>
      <c r="B69" s="20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</row>
    <row r="70" spans="1:20" ht="15" thickBot="1" x14ac:dyDescent="0.35">
      <c r="A70" s="2"/>
      <c r="B70" s="20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</row>
    <row r="71" spans="1:20" ht="15" thickBot="1" x14ac:dyDescent="0.35">
      <c r="A71" s="2"/>
      <c r="B71" s="20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</row>
    <row r="72" spans="1:20" ht="15" thickBot="1" x14ac:dyDescent="0.35">
      <c r="A72" s="2"/>
      <c r="B72" s="20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</row>
    <row r="73" spans="1:20" ht="15" thickBot="1" x14ac:dyDescent="0.35">
      <c r="A73" s="2"/>
      <c r="B73" s="20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</row>
    <row r="74" spans="1:20" ht="15" thickBot="1" x14ac:dyDescent="0.35">
      <c r="A74" s="2"/>
      <c r="B74" s="20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</row>
    <row r="75" spans="1:20" ht="15" thickBot="1" x14ac:dyDescent="0.35">
      <c r="A75" s="2"/>
      <c r="B75" s="20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</row>
    <row r="76" spans="1:20" ht="15" thickBot="1" x14ac:dyDescent="0.35">
      <c r="A76" s="2"/>
      <c r="B76" s="20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</row>
    <row r="77" spans="1:20" ht="15" thickBot="1" x14ac:dyDescent="0.35">
      <c r="A77" s="2"/>
      <c r="B77" s="20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</row>
    <row r="78" spans="1:20" ht="15" thickBot="1" x14ac:dyDescent="0.35">
      <c r="A78" s="2"/>
      <c r="B78" s="20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</row>
    <row r="79" spans="1:20" ht="15" thickBot="1" x14ac:dyDescent="0.35">
      <c r="A79" s="2"/>
      <c r="B79" s="20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</row>
    <row r="80" spans="1:20" ht="15" thickBot="1" x14ac:dyDescent="0.35">
      <c r="A80" s="2"/>
      <c r="B80" s="20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</row>
    <row r="81" spans="1:20" ht="15" thickBot="1" x14ac:dyDescent="0.35">
      <c r="A81" s="2"/>
      <c r="B81" s="20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</row>
    <row r="82" spans="1:20" ht="15" thickBot="1" x14ac:dyDescent="0.35">
      <c r="A82" s="2"/>
      <c r="B82" s="20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</row>
    <row r="83" spans="1:20" ht="15" thickBot="1" x14ac:dyDescent="0.35">
      <c r="A83" s="2"/>
      <c r="B83" s="20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</row>
    <row r="84" spans="1:20" ht="15" thickBot="1" x14ac:dyDescent="0.35">
      <c r="A84" s="2"/>
      <c r="B84" s="20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</row>
    <row r="85" spans="1:20" ht="15" thickBot="1" x14ac:dyDescent="0.35">
      <c r="A85" s="2"/>
      <c r="B85" s="20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</row>
    <row r="86" spans="1:20" ht="15" thickBot="1" x14ac:dyDescent="0.35">
      <c r="A86" s="2"/>
      <c r="B86" s="20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</row>
    <row r="87" spans="1:20" ht="15" thickBot="1" x14ac:dyDescent="0.35">
      <c r="A87" s="2"/>
      <c r="B87" s="20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</row>
    <row r="88" spans="1:20" ht="15" thickBot="1" x14ac:dyDescent="0.35">
      <c r="A88" s="2"/>
      <c r="B88" s="20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</row>
    <row r="89" spans="1:20" ht="15" thickBot="1" x14ac:dyDescent="0.35">
      <c r="A89" s="2"/>
      <c r="B89" s="20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</row>
    <row r="90" spans="1:20" ht="15" thickBot="1" x14ac:dyDescent="0.35">
      <c r="A90" s="2"/>
      <c r="B90" s="20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</row>
    <row r="91" spans="1:20" ht="15" thickBot="1" x14ac:dyDescent="0.35">
      <c r="A91" s="2"/>
      <c r="B91" s="20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</row>
    <row r="92" spans="1:20" ht="15" thickBot="1" x14ac:dyDescent="0.35">
      <c r="A92" s="2"/>
      <c r="B92" s="20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</row>
    <row r="93" spans="1:20" ht="15" thickBot="1" x14ac:dyDescent="0.35">
      <c r="A93" s="2"/>
      <c r="B93" s="20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</row>
    <row r="94" spans="1:20" ht="15" thickBot="1" x14ac:dyDescent="0.35">
      <c r="A94" s="2"/>
      <c r="B94" s="20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</row>
    <row r="95" spans="1:20" ht="15" thickBot="1" x14ac:dyDescent="0.35">
      <c r="A95" s="2"/>
      <c r="B95" s="20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</row>
    <row r="96" spans="1:20" ht="15" thickBot="1" x14ac:dyDescent="0.35">
      <c r="A96" s="2"/>
      <c r="B96" s="20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</row>
    <row r="97" spans="1:20" ht="15" thickBot="1" x14ac:dyDescent="0.35">
      <c r="A97" s="2"/>
      <c r="B97" s="20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</row>
    <row r="98" spans="1:20" ht="15" thickBot="1" x14ac:dyDescent="0.35">
      <c r="A98" s="2"/>
      <c r="B98" s="20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</row>
    <row r="99" spans="1:20" ht="15" thickBot="1" x14ac:dyDescent="0.35">
      <c r="A99" s="2"/>
      <c r="B99" s="20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</row>
    <row r="100" spans="1:20" ht="15" thickBot="1" x14ac:dyDescent="0.35">
      <c r="A100" s="2"/>
      <c r="B100" s="20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</row>
    <row r="101" spans="1:20" ht="15" thickBot="1" x14ac:dyDescent="0.35">
      <c r="A101" s="2"/>
      <c r="B101" s="20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</row>
    <row r="102" spans="1:20" ht="15" thickBot="1" x14ac:dyDescent="0.35">
      <c r="A102" s="2"/>
      <c r="B102" s="20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</row>
    <row r="103" spans="1:20" ht="15" thickBot="1" x14ac:dyDescent="0.35">
      <c r="A103" s="2"/>
      <c r="B103" s="20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</row>
    <row r="104" spans="1:20" ht="15" thickBot="1" x14ac:dyDescent="0.35">
      <c r="A104" s="2"/>
      <c r="B104" s="20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</row>
    <row r="105" spans="1:20" ht="15" thickBot="1" x14ac:dyDescent="0.35">
      <c r="A105" s="2"/>
      <c r="B105" s="20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</row>
    <row r="106" spans="1:20" ht="15" thickBot="1" x14ac:dyDescent="0.35">
      <c r="A106" s="2"/>
      <c r="B106" s="20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</row>
    <row r="107" spans="1:20" ht="15" thickBot="1" x14ac:dyDescent="0.35">
      <c r="A107" s="2"/>
      <c r="B107" s="20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</row>
    <row r="108" spans="1:20" ht="15" thickBot="1" x14ac:dyDescent="0.35">
      <c r="A108" s="2"/>
      <c r="B108" s="20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</row>
    <row r="109" spans="1:20" ht="15" thickBot="1" x14ac:dyDescent="0.35">
      <c r="A109" s="2"/>
      <c r="B109" s="20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</row>
    <row r="110" spans="1:20" ht="15" thickBot="1" x14ac:dyDescent="0.35">
      <c r="A110" s="2"/>
      <c r="B110" s="20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</row>
    <row r="111" spans="1:20" ht="15" thickBot="1" x14ac:dyDescent="0.35">
      <c r="A111" s="2"/>
      <c r="B111" s="20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</row>
    <row r="112" spans="1:20" ht="15" thickBot="1" x14ac:dyDescent="0.35">
      <c r="A112" s="2"/>
      <c r="B112" s="20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</row>
    <row r="113" spans="1:20" ht="15" thickBot="1" x14ac:dyDescent="0.35">
      <c r="A113" s="2"/>
      <c r="B113" s="20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</row>
    <row r="114" spans="1:20" ht="15" thickBot="1" x14ac:dyDescent="0.35">
      <c r="A114" s="2"/>
      <c r="B114" s="20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</row>
    <row r="115" spans="1:20" ht="15" thickBot="1" x14ac:dyDescent="0.35">
      <c r="A115" s="2"/>
      <c r="B115" s="20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</row>
    <row r="116" spans="1:20" ht="15" thickBot="1" x14ac:dyDescent="0.35">
      <c r="A116" s="2"/>
      <c r="B116" s="20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</row>
    <row r="117" spans="1:20" ht="15" thickBot="1" x14ac:dyDescent="0.35">
      <c r="A117" s="2"/>
      <c r="B117" s="20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</row>
    <row r="118" spans="1:20" ht="15" thickBot="1" x14ac:dyDescent="0.35">
      <c r="A118" s="2"/>
      <c r="B118" s="20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</row>
    <row r="119" spans="1:20" ht="15" thickBot="1" x14ac:dyDescent="0.35">
      <c r="A119" s="2"/>
      <c r="B119" s="20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</row>
    <row r="120" spans="1:20" ht="15" thickBot="1" x14ac:dyDescent="0.35">
      <c r="A120" s="2"/>
      <c r="B120" s="20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</row>
    <row r="121" spans="1:20" ht="15" thickBot="1" x14ac:dyDescent="0.35">
      <c r="A121" s="2"/>
      <c r="B121" s="20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</row>
    <row r="122" spans="1:20" ht="15" thickBot="1" x14ac:dyDescent="0.35">
      <c r="A122" s="2"/>
      <c r="B122" s="20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</row>
    <row r="123" spans="1:20" ht="15" thickBot="1" x14ac:dyDescent="0.35">
      <c r="A123" s="2"/>
      <c r="B123" s="20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</row>
    <row r="124" spans="1:20" ht="15" thickBot="1" x14ac:dyDescent="0.35">
      <c r="A124" s="2"/>
      <c r="B124" s="20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</row>
    <row r="125" spans="1:20" ht="15" thickBot="1" x14ac:dyDescent="0.35">
      <c r="A125" s="2"/>
      <c r="B125" s="20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</row>
    <row r="126" spans="1:20" ht="15" thickBot="1" x14ac:dyDescent="0.35">
      <c r="A126" s="2"/>
      <c r="B126" s="20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</row>
    <row r="127" spans="1:20" ht="15" thickBot="1" x14ac:dyDescent="0.35">
      <c r="A127" s="2"/>
      <c r="B127" s="20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</row>
    <row r="128" spans="1:20" ht="15" thickBot="1" x14ac:dyDescent="0.35">
      <c r="A128" s="2"/>
      <c r="B128" s="20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</row>
    <row r="129" spans="1:20" ht="15" thickBot="1" x14ac:dyDescent="0.35">
      <c r="A129" s="2"/>
      <c r="B129" s="20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</row>
    <row r="130" spans="1:20" ht="15" thickBot="1" x14ac:dyDescent="0.35">
      <c r="A130" s="2"/>
      <c r="B130" s="20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</row>
    <row r="131" spans="1:20" ht="15" thickBot="1" x14ac:dyDescent="0.35">
      <c r="A131" s="2"/>
      <c r="B131" s="20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</row>
    <row r="132" spans="1:20" ht="15" thickBot="1" x14ac:dyDescent="0.35">
      <c r="A132" s="2"/>
      <c r="B132" s="20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</row>
    <row r="133" spans="1:20" ht="15" thickBot="1" x14ac:dyDescent="0.35">
      <c r="A133" s="2"/>
      <c r="B133" s="20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</row>
    <row r="134" spans="1:20" ht="15" thickBot="1" x14ac:dyDescent="0.35">
      <c r="A134" s="2"/>
      <c r="B134" s="20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</row>
    <row r="135" spans="1:20" ht="15" thickBot="1" x14ac:dyDescent="0.35">
      <c r="A135" s="2"/>
      <c r="B135" s="20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</row>
    <row r="136" spans="1:20" ht="15" thickBot="1" x14ac:dyDescent="0.35">
      <c r="A136" s="2"/>
      <c r="B136" s="20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</row>
    <row r="137" spans="1:20" ht="15" thickBot="1" x14ac:dyDescent="0.35">
      <c r="A137" s="2"/>
      <c r="B137" s="20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</row>
    <row r="138" spans="1:20" ht="15" thickBot="1" x14ac:dyDescent="0.35">
      <c r="A138" s="2"/>
      <c r="B138" s="20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</row>
    <row r="139" spans="1:20" ht="15" thickBot="1" x14ac:dyDescent="0.35">
      <c r="A139" s="2"/>
      <c r="B139" s="20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</row>
    <row r="140" spans="1:20" ht="15" thickBot="1" x14ac:dyDescent="0.35">
      <c r="A140" s="2"/>
      <c r="B140" s="20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</row>
    <row r="141" spans="1:20" ht="15" thickBot="1" x14ac:dyDescent="0.35">
      <c r="A141" s="2"/>
      <c r="B141" s="20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</row>
    <row r="142" spans="1:20" ht="15" thickBot="1" x14ac:dyDescent="0.35">
      <c r="A142" s="2"/>
      <c r="B142" s="20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</row>
    <row r="143" spans="1:20" ht="15" thickBot="1" x14ac:dyDescent="0.35">
      <c r="A143" s="2"/>
      <c r="B143" s="20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Analisis PIECES</vt:lpstr>
      <vt:lpstr>Data Tingkat Kepuasan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2026-06-07T13:15:58Z</dcterms:created>
  <dcterms:modified xsi:type="dcterms:W3CDTF">2026-06-07T14:38:12Z</dcterms:modified>
</cp:coreProperties>
</file>